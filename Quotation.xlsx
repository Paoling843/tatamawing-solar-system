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30d117a7b2ef8b/Desktop/3rd Year - Subjects/Capstone 1/"/>
    </mc:Choice>
  </mc:AlternateContent>
  <xr:revisionPtr revIDLastSave="11" documentId="13_ncr:1_{C0BFC7E3-8129-4CB2-8BEB-DDF7A93E582B}" xr6:coauthVersionLast="47" xr6:coauthVersionMax="47" xr10:uidLastSave="{2F3024F3-FA06-493C-B088-AD45195FEB9B}"/>
  <bookViews>
    <workbookView xWindow="-108" yWindow="-108" windowWidth="23256" windowHeight="13176" activeTab="1" xr2:uid="{370D84F9-D4F7-48B1-85BB-F0541DE45CB2}"/>
  </bookViews>
  <sheets>
    <sheet name="Quotation" sheetId="1" r:id="rId1"/>
    <sheet name="Product Price" sheetId="2" r:id="rId2"/>
    <sheet name="Apliances Manual" sheetId="3" r:id="rId3"/>
  </sheets>
  <definedNames>
    <definedName name="_xlnm._FilterDatabase" localSheetId="1" hidden="1">'Product Price'!$A$1:$H$120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" i="2" l="1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" i="1" l="1"/>
  <c r="F10" i="1" s="1"/>
  <c r="F9" i="1"/>
  <c r="D8" i="1"/>
  <c r="F8" i="1" s="1"/>
  <c r="C7" i="1"/>
  <c r="B7" i="1"/>
  <c r="C6" i="1"/>
  <c r="B6" i="1"/>
  <c r="C5" i="1"/>
  <c r="B5" i="1"/>
  <c r="D64" i="1" l="1"/>
  <c r="D50" i="1"/>
  <c r="F50" i="1" s="1"/>
  <c r="D36" i="1"/>
  <c r="F36" i="1" s="1"/>
  <c r="D22" i="1"/>
  <c r="D5" i="1"/>
  <c r="F5" i="1" s="1"/>
  <c r="D66" i="1"/>
  <c r="F66" i="1" s="1"/>
  <c r="F65" i="1"/>
  <c r="F64" i="1"/>
  <c r="C63" i="1"/>
  <c r="B63" i="1"/>
  <c r="C62" i="1"/>
  <c r="B62" i="1"/>
  <c r="C61" i="1"/>
  <c r="B61" i="1"/>
  <c r="D52" i="1"/>
  <c r="F52" i="1" s="1"/>
  <c r="F51" i="1"/>
  <c r="C49" i="1"/>
  <c r="B49" i="1"/>
  <c r="C48" i="1"/>
  <c r="B48" i="1"/>
  <c r="C47" i="1"/>
  <c r="B47" i="1"/>
  <c r="D38" i="1"/>
  <c r="F38" i="1" s="1"/>
  <c r="F37" i="1"/>
  <c r="C35" i="1"/>
  <c r="B35" i="1"/>
  <c r="C34" i="1"/>
  <c r="B34" i="1"/>
  <c r="C33" i="1"/>
  <c r="B33" i="1"/>
  <c r="D24" i="1"/>
  <c r="F24" i="1" s="1"/>
  <c r="F23" i="1"/>
  <c r="F22" i="1"/>
  <c r="C21" i="1"/>
  <c r="B21" i="1"/>
  <c r="C20" i="1"/>
  <c r="B20" i="1"/>
  <c r="C19" i="1"/>
  <c r="B19" i="1"/>
  <c r="D35" i="1"/>
  <c r="F35" i="1" s="1"/>
  <c r="D48" i="1"/>
  <c r="F48" i="1" s="1"/>
  <c r="D62" i="1"/>
  <c r="F62" i="1" s="1"/>
  <c r="D7" i="1" l="1"/>
  <c r="F7" i="1" s="1"/>
  <c r="D20" i="1"/>
  <c r="F20" i="1" s="1"/>
  <c r="D6" i="1"/>
  <c r="F6" i="1" s="1"/>
  <c r="D61" i="1"/>
  <c r="F61" i="1" s="1"/>
  <c r="D21" i="1"/>
  <c r="F21" i="1" s="1"/>
  <c r="D33" i="1"/>
  <c r="F33" i="1" s="1"/>
  <c r="D47" i="1"/>
  <c r="F47" i="1" s="1"/>
  <c r="D49" i="1"/>
  <c r="F49" i="1" s="1"/>
  <c r="D63" i="1"/>
  <c r="F63" i="1" s="1"/>
  <c r="D34" i="1"/>
  <c r="F34" i="1" s="1"/>
  <c r="D19" i="1"/>
  <c r="F19" i="1" s="1"/>
  <c r="C2" i="1" l="1"/>
  <c r="C16" i="1"/>
  <c r="C58" i="1"/>
  <c r="C44" i="1"/>
  <c r="C30" i="1"/>
</calcChain>
</file>

<file path=xl/sharedStrings.xml><?xml version="1.0" encoding="utf-8"?>
<sst xmlns="http://schemas.openxmlformats.org/spreadsheetml/2006/main" count="567" uniqueCount="293">
  <si>
    <t>Cash Price</t>
  </si>
  <si>
    <t>Inclusion</t>
  </si>
  <si>
    <t>Unit</t>
  </si>
  <si>
    <t>Quantity</t>
  </si>
  <si>
    <t>Installation and Transportation</t>
  </si>
  <si>
    <t>5 Years Warranty</t>
  </si>
  <si>
    <t>After Sales Support</t>
  </si>
  <si>
    <t>Complete Set of Mounting Kit</t>
  </si>
  <si>
    <t>3 kw Hybrid</t>
  </si>
  <si>
    <t>Product Number</t>
  </si>
  <si>
    <t>Product Description</t>
  </si>
  <si>
    <t>Lekker Price</t>
  </si>
  <si>
    <t>IAN Price</t>
  </si>
  <si>
    <t>Inventory</t>
  </si>
  <si>
    <t>tm-0001</t>
  </si>
  <si>
    <t>each</t>
  </si>
  <si>
    <t>tm-0002</t>
  </si>
  <si>
    <t>tm-0003</t>
  </si>
  <si>
    <t>tm-0004</t>
  </si>
  <si>
    <t>tm-0005</t>
  </si>
  <si>
    <t>MC4 Connector</t>
  </si>
  <si>
    <t>tm-0006</t>
  </si>
  <si>
    <t>tm-0007</t>
  </si>
  <si>
    <t>tm-0008</t>
  </si>
  <si>
    <t>tm-0009</t>
  </si>
  <si>
    <t>tm-0010</t>
  </si>
  <si>
    <t>tm-0011</t>
  </si>
  <si>
    <t>tm-0012</t>
  </si>
  <si>
    <t>tm-0013</t>
  </si>
  <si>
    <t>tm-0014</t>
  </si>
  <si>
    <t>Cable Battery 25mm R and B</t>
  </si>
  <si>
    <t>tm-0015</t>
  </si>
  <si>
    <t>Battery Terminal 25mm</t>
  </si>
  <si>
    <t>tm-0016</t>
  </si>
  <si>
    <t>tm-0017</t>
  </si>
  <si>
    <t>tm-0018</t>
  </si>
  <si>
    <t>tm-0019</t>
  </si>
  <si>
    <t>tm-0020</t>
  </si>
  <si>
    <t>tm-0021</t>
  </si>
  <si>
    <t>Box Breaker 18 ways SASSIN</t>
  </si>
  <si>
    <t>tm-0022</t>
  </si>
  <si>
    <t>tm-0023</t>
  </si>
  <si>
    <t>tm-0024</t>
  </si>
  <si>
    <t>tm-0025</t>
  </si>
  <si>
    <t>tm-0026</t>
  </si>
  <si>
    <t>tm-0027</t>
  </si>
  <si>
    <t>Cable Battery 35mm R and B</t>
  </si>
  <si>
    <t>tm-0028</t>
  </si>
  <si>
    <t>Battery Terminal 35mm</t>
  </si>
  <si>
    <t>tm-0029</t>
  </si>
  <si>
    <t>tm-0030</t>
  </si>
  <si>
    <t>Ingelec 18 ways</t>
  </si>
  <si>
    <t>tm-0031</t>
  </si>
  <si>
    <t>tm-0032</t>
  </si>
  <si>
    <t>Over and Under Protection</t>
  </si>
  <si>
    <t>tm-0033</t>
  </si>
  <si>
    <t>tm-0034</t>
  </si>
  <si>
    <t>tm-0035</t>
  </si>
  <si>
    <t>Solar Panel CANADIAN 585W</t>
  </si>
  <si>
    <t>tm-0036</t>
  </si>
  <si>
    <t>tm-0037</t>
  </si>
  <si>
    <t>tm-0038</t>
  </si>
  <si>
    <t>tm-0039</t>
  </si>
  <si>
    <t>Solar Panel IAN 550W</t>
  </si>
  <si>
    <t>tm-0040</t>
  </si>
  <si>
    <t>tm-0041</t>
  </si>
  <si>
    <t>Solar Panel JINKO 630W Mono Bifacial N type</t>
  </si>
  <si>
    <t>tm-0042</t>
  </si>
  <si>
    <t>tm-0043</t>
  </si>
  <si>
    <t>Solar Panel IAN 630W Mono Bifacial</t>
  </si>
  <si>
    <t>tm-0044</t>
  </si>
  <si>
    <t>tm-0045</t>
  </si>
  <si>
    <t>Solar Panel JA 610W Bifacial N type</t>
  </si>
  <si>
    <t>tm-0046</t>
  </si>
  <si>
    <t>tm-0047</t>
  </si>
  <si>
    <t>tm-0048</t>
  </si>
  <si>
    <t>tm-0049</t>
  </si>
  <si>
    <t>tm-0050</t>
  </si>
  <si>
    <t>tm-0051</t>
  </si>
  <si>
    <t>tm-0052</t>
  </si>
  <si>
    <t>tm-0053</t>
  </si>
  <si>
    <t>tm-0054</t>
  </si>
  <si>
    <t>tm-0055</t>
  </si>
  <si>
    <t>Rails U type 3.5</t>
  </si>
  <si>
    <t>tm-0056</t>
  </si>
  <si>
    <t>Rails U type 2.5</t>
  </si>
  <si>
    <t>tm-0057</t>
  </si>
  <si>
    <t>Rails L type 3.5</t>
  </si>
  <si>
    <t>tm-0058</t>
  </si>
  <si>
    <t>tm-0059</t>
  </si>
  <si>
    <t>tm-0060</t>
  </si>
  <si>
    <t>tm-0061</t>
  </si>
  <si>
    <t>Box Combiner 18 HT</t>
  </si>
  <si>
    <t>tm-0062</t>
  </si>
  <si>
    <t>Box Combiner 8 HT</t>
  </si>
  <si>
    <t>tm-0063</t>
  </si>
  <si>
    <t>Box Combiner 5 HT</t>
  </si>
  <si>
    <t>tm-0064</t>
  </si>
  <si>
    <t>tm-0065</t>
  </si>
  <si>
    <t>tm-0066</t>
  </si>
  <si>
    <t>tm-0067</t>
  </si>
  <si>
    <t>tm-0068</t>
  </si>
  <si>
    <t>tm-0069</t>
  </si>
  <si>
    <t>AC Breaker 63A IAN</t>
  </si>
  <si>
    <t>tm-0070</t>
  </si>
  <si>
    <t>AC Breaker 32A IAN</t>
  </si>
  <si>
    <t>tm-0071</t>
  </si>
  <si>
    <t>AC Breaker SPD 385V IAN</t>
  </si>
  <si>
    <t>tm-0072</t>
  </si>
  <si>
    <t>Wire Grounding 16mm</t>
  </si>
  <si>
    <t>meter</t>
  </si>
  <si>
    <t>tm-0073</t>
  </si>
  <si>
    <t>Wire Grounding 10mm</t>
  </si>
  <si>
    <t>tm-0074</t>
  </si>
  <si>
    <t>Cable Battery 25mm Red</t>
  </si>
  <si>
    <t>tm-0075</t>
  </si>
  <si>
    <t>Cable Battery 25mm Black</t>
  </si>
  <si>
    <t>tm-0076</t>
  </si>
  <si>
    <t>tm-0077</t>
  </si>
  <si>
    <t>tm-0078</t>
  </si>
  <si>
    <t>tm-0079</t>
  </si>
  <si>
    <t>tm-0080</t>
  </si>
  <si>
    <t>tm-0081</t>
  </si>
  <si>
    <t>tm-0082</t>
  </si>
  <si>
    <t>tm-0083</t>
  </si>
  <si>
    <t>tm-0084</t>
  </si>
  <si>
    <t>tm-0085</t>
  </si>
  <si>
    <t>Wire PV twin core 4mm</t>
  </si>
  <si>
    <t>tm-0086</t>
  </si>
  <si>
    <t>Wire PV twin core 6mm</t>
  </si>
  <si>
    <t>tm-0087</t>
  </si>
  <si>
    <t>Wire PV single core 4mm Red</t>
  </si>
  <si>
    <t>tm-0088</t>
  </si>
  <si>
    <t>Wire PV single core 4mm Black</t>
  </si>
  <si>
    <t>tm-0089</t>
  </si>
  <si>
    <t>Wire PV single core 6mm Red</t>
  </si>
  <si>
    <t>tm-0090</t>
  </si>
  <si>
    <t>Wire PV single core 6mm Black</t>
  </si>
  <si>
    <t>tm-0091</t>
  </si>
  <si>
    <t>Wire AC THHN 5.5mm Red</t>
  </si>
  <si>
    <t>tm-0092</t>
  </si>
  <si>
    <t>Wire AC THHN 5.5mm Black</t>
  </si>
  <si>
    <t>tm-0093</t>
  </si>
  <si>
    <t>Wire AC THHN 8mm Red</t>
  </si>
  <si>
    <t>tm-0094</t>
  </si>
  <si>
    <t>Wire AC THHN 8mm Black</t>
  </si>
  <si>
    <t>tm-0095</t>
  </si>
  <si>
    <t>AC Breaker 2P 63A SUNTREE</t>
  </si>
  <si>
    <t>tm-0096</t>
  </si>
  <si>
    <t>AC Breaker 2P 32A SUNTREE</t>
  </si>
  <si>
    <t>tm-0097</t>
  </si>
  <si>
    <t>AC Breaker SPD 2P 275V SUNTREE</t>
  </si>
  <si>
    <t>tm-0098</t>
  </si>
  <si>
    <t>DC Breaker SPD 2P 600V SUNTREE</t>
  </si>
  <si>
    <t>tm-0099</t>
  </si>
  <si>
    <t>DC Breaker 16A 600V SUNTREE</t>
  </si>
  <si>
    <t>tm-0100</t>
  </si>
  <si>
    <t>DC Breaker 25A 1000V SUNTREE</t>
  </si>
  <si>
    <t>tm-0101</t>
  </si>
  <si>
    <t>DC Breaker 16A 1000V SUNTREE</t>
  </si>
  <si>
    <t>tm-0102</t>
  </si>
  <si>
    <t>MCCB 125A FEEO</t>
  </si>
  <si>
    <t>Rails 2.4 L Type</t>
  </si>
  <si>
    <t>L Foot L Type</t>
  </si>
  <si>
    <t>tm-0103</t>
  </si>
  <si>
    <t>L Foot U Type (Metal Bracket)</t>
  </si>
  <si>
    <t>Clamp Mid 30mm L Type</t>
  </si>
  <si>
    <t>Clamp End 30mm L Type</t>
  </si>
  <si>
    <t>Clamp Mid U type</t>
  </si>
  <si>
    <t>Clamp End U Type</t>
  </si>
  <si>
    <t>Clamp Mid L Type</t>
  </si>
  <si>
    <t>Solar Panel 550watts OSDA</t>
  </si>
  <si>
    <t>Cable PV 2*6mm</t>
  </si>
  <si>
    <t>Battery 51.2volts 200ah SRNE</t>
  </si>
  <si>
    <t>Battery 24volts 280ah MENRED</t>
  </si>
  <si>
    <t>Battery 51.2volts 100ah SRNE</t>
  </si>
  <si>
    <t>Battery 51.2volts 100ah DYNESS</t>
  </si>
  <si>
    <t>Battery 51.2volts 280ah DYNESS Powerbrick</t>
  </si>
  <si>
    <t>Battery  200ah RV 12200</t>
  </si>
  <si>
    <t>Clamp End L Type</t>
  </si>
  <si>
    <t>Tray Cable 50*80mm White</t>
  </si>
  <si>
    <t>Cable PV 4mm</t>
  </si>
  <si>
    <t>Inverter Hybrid 3kw 24volts 500volts SRNE</t>
  </si>
  <si>
    <t>Inverter Hybrid 8kw DEYE</t>
  </si>
  <si>
    <t>Inverter Hybrid 6kw SRNE</t>
  </si>
  <si>
    <t>Inverter Hybrid10kw DEYE</t>
  </si>
  <si>
    <t>Inverter Hybrid 12kw SRNE</t>
  </si>
  <si>
    <t>Inverter Gridtie 6kw SOLIS</t>
  </si>
  <si>
    <t>Inverter Gridtie 3kw single phase MPPT 14A SOLIS</t>
  </si>
  <si>
    <t>Inverter Gridtie 5kw CT type SOLIS</t>
  </si>
  <si>
    <t>Inverter Gridtie 8kw CT type SOLIS</t>
  </si>
  <si>
    <t>Inverter Gridtie 10kw CT type SOLIS</t>
  </si>
  <si>
    <t>Inverter Hybrid 5kw SOLIS</t>
  </si>
  <si>
    <t>Inverter Hybrid 6kw Bluetooth type SOLIS</t>
  </si>
  <si>
    <t>Inverter Hybrid SOLIS 6kw SOLIS</t>
  </si>
  <si>
    <t>Inverter Hybrid 8kw pro Bluetooth type SOLIS</t>
  </si>
  <si>
    <t>Inverter Hybrid 8kw SOLIS</t>
  </si>
  <si>
    <t>Inverter Hybrid 12kw SOLIS</t>
  </si>
  <si>
    <t>Inverter Hybrid 16kw SOLIS</t>
  </si>
  <si>
    <t>Inverter Hybrid 12kw DEYE</t>
  </si>
  <si>
    <t>DC Breaker 20amp FEEO</t>
  </si>
  <si>
    <t>DC Breaker SPD 600volts FEEO</t>
  </si>
  <si>
    <t>AC Breaker SPD 385volts FEEO</t>
  </si>
  <si>
    <t>AC Breaker 63amp FEEO</t>
  </si>
  <si>
    <t>DC Breaker 32amp FEEO</t>
  </si>
  <si>
    <t>AC Breaker 32amp FEEO</t>
  </si>
  <si>
    <t>DC Breaker 25amp</t>
  </si>
  <si>
    <t>DC Breaker 16amp</t>
  </si>
  <si>
    <t>DC Breaker SPD 1000volts</t>
  </si>
  <si>
    <t>Grounding Rod 3m with clamp</t>
  </si>
  <si>
    <t>Splice Kit</t>
  </si>
  <si>
    <t>Rail Connector</t>
  </si>
  <si>
    <t>tm-0104</t>
  </si>
  <si>
    <t>Tray Cable 50*50 Grey</t>
  </si>
  <si>
    <t>Tray Cable 50cm x 50cm</t>
  </si>
  <si>
    <t>Cable PV Twin 6mm</t>
  </si>
  <si>
    <t>tm-0105</t>
  </si>
  <si>
    <t>tm-0106</t>
  </si>
  <si>
    <t>Cost Price</t>
  </si>
  <si>
    <t>Sales Price</t>
  </si>
  <si>
    <t>Set</t>
  </si>
  <si>
    <t>Total Amount</t>
  </si>
  <si>
    <t>Item Number</t>
  </si>
  <si>
    <t>NA</t>
  </si>
  <si>
    <t>Price</t>
  </si>
  <si>
    <t>Complete Set of Safety Device and Cables</t>
  </si>
  <si>
    <t>6 kw Hybrid</t>
  </si>
  <si>
    <t>tm-0107</t>
  </si>
  <si>
    <t>tm-0108</t>
  </si>
  <si>
    <t>Solar Panel CANADIAN 610watts Bifacial</t>
  </si>
  <si>
    <t>8 kw Hybrid</t>
  </si>
  <si>
    <t>Inverter Hybrid 8kw SRNE</t>
  </si>
  <si>
    <t>tm-0109</t>
  </si>
  <si>
    <t>Battery 51.2volts 315ah SRNE not discounted</t>
  </si>
  <si>
    <t>Battery 51.2volts 100ah SRNE not discounted</t>
  </si>
  <si>
    <t>Battery 51.2volts 200ah SRNE not discounted</t>
  </si>
  <si>
    <t>tm-0110</t>
  </si>
  <si>
    <t>Inverter Hybrid 6kw DEYE</t>
  </si>
  <si>
    <t>Aircon</t>
  </si>
  <si>
    <t>Water Pump</t>
  </si>
  <si>
    <t>1hp</t>
  </si>
  <si>
    <t>1 hp</t>
  </si>
  <si>
    <t>Induction Cooker</t>
  </si>
  <si>
    <t>1500watts</t>
  </si>
  <si>
    <t>Electric Kettle</t>
  </si>
  <si>
    <t>Water Dispenser</t>
  </si>
  <si>
    <t>All appliances and lights</t>
  </si>
  <si>
    <t>1hp-2hp</t>
  </si>
  <si>
    <t>1-3 hp</t>
  </si>
  <si>
    <t>1500-2000watts</t>
  </si>
  <si>
    <t>Speaker with Subwoofer</t>
  </si>
  <si>
    <t>1000-1500watts</t>
  </si>
  <si>
    <t>800-1500watts</t>
  </si>
  <si>
    <t>1-4hp</t>
  </si>
  <si>
    <t>10 kw Hybrid</t>
  </si>
  <si>
    <t>1-6hp</t>
  </si>
  <si>
    <t>12 kw Hybrid</t>
  </si>
  <si>
    <t>1-8hp</t>
  </si>
  <si>
    <t>Battery Bank Overview</t>
  </si>
  <si>
    <t>1 Battery 51.2volts 100ah can last 5 hours during night time using 1 hp aircon. Calculation does not include other appliances.</t>
  </si>
  <si>
    <t>1 Battery 51.2volts 200ah can last 10 hours during night time using 1 hp aircon. Calculation does not include other appliances.</t>
  </si>
  <si>
    <t>1 Battery 51.2volts 315ah can last 15 hours during night time using 1 hp aircon. Calculation does not include other appliances.</t>
  </si>
  <si>
    <t>Solar Panel OSDA 610W Bifacial</t>
  </si>
  <si>
    <t>Solar Panel OSDA 590W Mono Bifacial</t>
  </si>
  <si>
    <t>6 kw Hybrid DEYE/SOLIS inverter</t>
  </si>
  <si>
    <t>8 kw Hybrid DEYE/SOLIS inverter</t>
  </si>
  <si>
    <t>10 kw Hybrid DEYE/SOLIS inverter</t>
  </si>
  <si>
    <t>12 kw Hybrid DEYE/SOLIS inverter</t>
  </si>
  <si>
    <t>Max 14 panel</t>
  </si>
  <si>
    <t>Max 4 Battery</t>
  </si>
  <si>
    <t>Max 18 panel</t>
  </si>
  <si>
    <t>Max 6 Battery</t>
  </si>
  <si>
    <t>Max 22 panel</t>
  </si>
  <si>
    <t>Max 8 Battery</t>
  </si>
  <si>
    <t>Max 26 panel</t>
  </si>
  <si>
    <t>Box Breaker 12 ways SASSIN</t>
  </si>
  <si>
    <t>MCCB 200A FEEO</t>
  </si>
  <si>
    <t>ATS 125A DinrailFEEO</t>
  </si>
  <si>
    <t>Box Breaker 12 ways HT</t>
  </si>
  <si>
    <t>MCCB 160A FEEO</t>
  </si>
  <si>
    <t>tm-0111</t>
  </si>
  <si>
    <t>Battery 51.2volts 280ah SRNE</t>
  </si>
  <si>
    <t>tm-0112</t>
  </si>
  <si>
    <t>Wire Grounding 6mm</t>
  </si>
  <si>
    <t>tm-0113</t>
  </si>
  <si>
    <t>Wire Grounding 4mm</t>
  </si>
  <si>
    <t>tm-0114</t>
  </si>
  <si>
    <t>HDPE 34.5cm</t>
  </si>
  <si>
    <t>tm-0115</t>
  </si>
  <si>
    <t>Sealant Silicone</t>
  </si>
  <si>
    <t>5 kw Hybrid SOLIS inverter</t>
  </si>
  <si>
    <t>Max 12 panel</t>
  </si>
  <si>
    <t>Battery 51.2volts 315ah MENRED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</si>
</sst>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₱-3409]* #,##0.00_-;\-[$₱-3409]* #,##0.00_-;_-[$₱-3409]* &quot;-&quot;??_-;_-@_-"/>
    <numFmt numFmtId="165" formatCode="&quot;₱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" fontId="0" fillId="0" borderId="1" xfId="0" applyNumberFormat="1" applyBorder="1" applyAlignment="1">
      <alignment wrapText="1"/>
    </xf>
    <xf numFmtId="0" fontId="0" fillId="3" borderId="2" xfId="0" applyFill="1" applyBorder="1"/>
    <xf numFmtId="0" fontId="0" fillId="0" borderId="2" xfId="0" applyBorder="1" applyAlignment="1">
      <alignment wrapText="1"/>
    </xf>
    <xf numFmtId="0" fontId="0" fillId="0" borderId="2" xfId="0" applyBorder="1"/>
    <xf numFmtId="165" fontId="0" fillId="0" borderId="2" xfId="0" applyNumberFormat="1" applyBorder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0" fillId="0" borderId="2" xfId="0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right"/>
    </xf>
    <xf numFmtId="164" fontId="0" fillId="4" borderId="2" xfId="0" applyNumberForma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5975-A9DD-422E-9533-29C7D06F01C5}">
  <dimension ref="A1:F68"/>
  <sheetViews>
    <sheetView workbookViewId="0">
      <selection activeCell="A62" sqref="A62"/>
    </sheetView>
  </sheetViews>
  <sheetFormatPr defaultRowHeight="14.4" x14ac:dyDescent="0.3"/>
  <cols>
    <col min="1" max="1" width="11.44140625" bestFit="1" customWidth="1"/>
    <col min="2" max="2" width="38.109375" customWidth="1"/>
    <col min="3" max="3" width="5" bestFit="1" customWidth="1"/>
    <col min="4" max="4" width="11.109375" bestFit="1" customWidth="1"/>
    <col min="5" max="5" width="7.6640625" bestFit="1" customWidth="1"/>
    <col min="6" max="6" width="11.44140625" bestFit="1" customWidth="1"/>
  </cols>
  <sheetData>
    <row r="1" spans="1:6" ht="25.2" customHeight="1" x14ac:dyDescent="0.3">
      <c r="B1" s="15" t="s">
        <v>290</v>
      </c>
      <c r="C1" s="16" t="s">
        <v>0</v>
      </c>
      <c r="D1" s="16"/>
      <c r="F1" t="s">
        <v>291</v>
      </c>
    </row>
    <row r="2" spans="1:6" ht="25.2" customHeight="1" x14ac:dyDescent="0.3">
      <c r="B2" s="15"/>
      <c r="C2" s="17">
        <f>SUM(F5:F10)</f>
        <v>189440</v>
      </c>
      <c r="D2" s="17"/>
      <c r="F2" t="s">
        <v>269</v>
      </c>
    </row>
    <row r="4" spans="1:6" ht="15" thickBot="1" x14ac:dyDescent="0.35">
      <c r="A4" s="6" t="s">
        <v>222</v>
      </c>
      <c r="B4" s="6" t="s">
        <v>1</v>
      </c>
      <c r="C4" s="6" t="s">
        <v>2</v>
      </c>
      <c r="D4" s="6" t="s">
        <v>224</v>
      </c>
      <c r="E4" s="6" t="s">
        <v>3</v>
      </c>
      <c r="F4" s="6" t="s">
        <v>221</v>
      </c>
    </row>
    <row r="5" spans="1:6" ht="15" thickBot="1" x14ac:dyDescent="0.35">
      <c r="A5" s="2" t="s">
        <v>70</v>
      </c>
      <c r="B5" s="8" t="str">
        <f>VLOOKUP(A5,'Product Price'!$1:$1048576,2,FALSE)</f>
        <v>Solar Panel OSDA 610W Bifacial</v>
      </c>
      <c r="C5" s="8" t="str">
        <f>VLOOKUP(A5,'Product Price'!$1:$1048576,3,FALSE)</f>
        <v>each</v>
      </c>
      <c r="D5" s="9">
        <f>VLOOKUP(A5,'Product Price'!$1:$1048576,4,FALSE)</f>
        <v>8260</v>
      </c>
      <c r="E5" s="8">
        <v>4</v>
      </c>
      <c r="F5" s="9">
        <f>D5*E5</f>
        <v>33040</v>
      </c>
    </row>
    <row r="6" spans="1:6" ht="15" thickBot="1" x14ac:dyDescent="0.35">
      <c r="A6" s="2" t="s">
        <v>117</v>
      </c>
      <c r="B6" s="8" t="str">
        <f>VLOOKUP(A6,'Product Price'!$1:$1048576,2,FALSE)</f>
        <v>Inverter Hybrid 5kw SOLIS</v>
      </c>
      <c r="C6" s="8" t="str">
        <f>VLOOKUP(A6,'Product Price'!$1:$1048576,3,FALSE)</f>
        <v>each</v>
      </c>
      <c r="D6" s="9">
        <f>VLOOKUP(A6,'Product Price'!$1:$1048576,4,FALSE)</f>
        <v>49000</v>
      </c>
      <c r="E6" s="8">
        <v>1</v>
      </c>
      <c r="F6" s="9">
        <f t="shared" ref="F6:F10" si="0">D6*E6</f>
        <v>49000</v>
      </c>
    </row>
    <row r="7" spans="1:6" ht="15" thickBot="1" x14ac:dyDescent="0.35">
      <c r="A7" s="10" t="s">
        <v>76</v>
      </c>
      <c r="B7" s="8" t="str">
        <f>VLOOKUP(A7,'Product Price'!$1:$1048576,2,FALSE)</f>
        <v>Battery 51.2volts 100ah SRNE not discounted</v>
      </c>
      <c r="C7" s="8" t="str">
        <f>VLOOKUP(A7,'Product Price'!$1:$1048576,3,FALSE)</f>
        <v>each</v>
      </c>
      <c r="D7" s="9">
        <f>VLOOKUP(A7,'Product Price'!$1:$1048576,4,FALSE)</f>
        <v>57399.999999999993</v>
      </c>
      <c r="E7" s="8">
        <v>1</v>
      </c>
      <c r="F7" s="9">
        <f t="shared" si="0"/>
        <v>57399.999999999993</v>
      </c>
    </row>
    <row r="8" spans="1:6" x14ac:dyDescent="0.3">
      <c r="A8" s="7" t="s">
        <v>223</v>
      </c>
      <c r="B8" s="8" t="s">
        <v>4</v>
      </c>
      <c r="C8" s="8" t="s">
        <v>220</v>
      </c>
      <c r="D8" s="9">
        <f>5000*E5</f>
        <v>20000</v>
      </c>
      <c r="E8" s="8">
        <v>1</v>
      </c>
      <c r="F8" s="9">
        <f t="shared" si="0"/>
        <v>20000</v>
      </c>
    </row>
    <row r="9" spans="1:6" x14ac:dyDescent="0.3">
      <c r="A9" s="7" t="s">
        <v>223</v>
      </c>
      <c r="B9" s="8" t="s">
        <v>225</v>
      </c>
      <c r="C9" s="8" t="s">
        <v>220</v>
      </c>
      <c r="D9" s="9">
        <v>20000</v>
      </c>
      <c r="E9" s="8">
        <v>1</v>
      </c>
      <c r="F9" s="9">
        <f t="shared" si="0"/>
        <v>20000</v>
      </c>
    </row>
    <row r="10" spans="1:6" x14ac:dyDescent="0.3">
      <c r="A10" s="7" t="s">
        <v>223</v>
      </c>
      <c r="B10" s="8" t="s">
        <v>7</v>
      </c>
      <c r="C10" s="8" t="s">
        <v>220</v>
      </c>
      <c r="D10" s="9">
        <f>2500*E5</f>
        <v>10000</v>
      </c>
      <c r="E10" s="8">
        <v>1</v>
      </c>
      <c r="F10" s="9">
        <f t="shared" si="0"/>
        <v>10000</v>
      </c>
    </row>
    <row r="11" spans="1:6" x14ac:dyDescent="0.3">
      <c r="A11" s="7" t="s">
        <v>223</v>
      </c>
      <c r="B11" s="8" t="s">
        <v>5</v>
      </c>
      <c r="C11" s="7" t="s">
        <v>223</v>
      </c>
      <c r="D11" s="8"/>
      <c r="E11" s="8"/>
      <c r="F11" s="8"/>
    </row>
    <row r="12" spans="1:6" x14ac:dyDescent="0.3">
      <c r="A12" s="7" t="s">
        <v>223</v>
      </c>
      <c r="B12" s="8" t="s">
        <v>6</v>
      </c>
      <c r="C12" s="7" t="s">
        <v>223</v>
      </c>
      <c r="D12" s="8"/>
      <c r="E12" s="8"/>
      <c r="F12" s="8"/>
    </row>
    <row r="15" spans="1:6" ht="25.2" customHeight="1" x14ac:dyDescent="0.3">
      <c r="B15" s="15" t="s">
        <v>264</v>
      </c>
      <c r="C15" s="16" t="s">
        <v>0</v>
      </c>
      <c r="D15" s="16"/>
      <c r="F15" t="s">
        <v>268</v>
      </c>
    </row>
    <row r="16" spans="1:6" ht="25.2" customHeight="1" x14ac:dyDescent="0.3">
      <c r="B16" s="15"/>
      <c r="C16" s="17">
        <f>SUM(F19:F24)</f>
        <v>307000</v>
      </c>
      <c r="D16" s="17"/>
      <c r="F16" t="s">
        <v>269</v>
      </c>
    </row>
    <row r="18" spans="1:6" ht="15" thickBot="1" x14ac:dyDescent="0.35">
      <c r="A18" s="6" t="s">
        <v>222</v>
      </c>
      <c r="B18" s="6" t="s">
        <v>1</v>
      </c>
      <c r="C18" s="6" t="s">
        <v>2</v>
      </c>
      <c r="D18" s="6" t="s">
        <v>224</v>
      </c>
      <c r="E18" s="6" t="s">
        <v>3</v>
      </c>
      <c r="F18" s="6" t="s">
        <v>221</v>
      </c>
    </row>
    <row r="19" spans="1:6" ht="15" thickBot="1" x14ac:dyDescent="0.35">
      <c r="A19" s="2" t="s">
        <v>70</v>
      </c>
      <c r="B19" s="8" t="str">
        <f>VLOOKUP(A19,'Product Price'!$1:$1048576,2,FALSE)</f>
        <v>Solar Panel OSDA 610W Bifacial</v>
      </c>
      <c r="C19" s="8" t="str">
        <f>VLOOKUP(A19,'Product Price'!$1:$1048576,3,FALSE)</f>
        <v>each</v>
      </c>
      <c r="D19" s="9">
        <f>VLOOKUP(A19,'Product Price'!$1:$1048576,4,FALSE)</f>
        <v>8260</v>
      </c>
      <c r="E19" s="8">
        <v>7</v>
      </c>
      <c r="F19" s="9">
        <f>D19*E19</f>
        <v>57820</v>
      </c>
    </row>
    <row r="20" spans="1:6" ht="15" thickBot="1" x14ac:dyDescent="0.35">
      <c r="A20" s="2" t="s">
        <v>119</v>
      </c>
      <c r="B20" s="8" t="str">
        <f>VLOOKUP(A20,'Product Price'!$1:$1048576,2,FALSE)</f>
        <v>Inverter Hybrid SOLIS 6kw SOLIS</v>
      </c>
      <c r="C20" s="8" t="str">
        <f>VLOOKUP(A20,'Product Price'!$1:$1048576,3,FALSE)</f>
        <v>each</v>
      </c>
      <c r="D20" s="9">
        <f>VLOOKUP(A20,'Product Price'!$1:$1048576,4,FALSE)</f>
        <v>64679.999999999993</v>
      </c>
      <c r="E20" s="8">
        <v>1</v>
      </c>
      <c r="F20" s="9">
        <f t="shared" ref="F20:F24" si="1">D20*E20</f>
        <v>64679.999999999993</v>
      </c>
    </row>
    <row r="21" spans="1:6" ht="15" thickBot="1" x14ac:dyDescent="0.35">
      <c r="A21" s="10" t="s">
        <v>75</v>
      </c>
      <c r="B21" s="11" t="str">
        <f>VLOOKUP(A21,'Product Price'!$1:$1048576,2,FALSE)</f>
        <v>Battery 51.2volts 200ah SRNE not discounted</v>
      </c>
      <c r="C21" s="8" t="str">
        <f>VLOOKUP(A21,'Product Price'!$1:$1048576,3,FALSE)</f>
        <v>each</v>
      </c>
      <c r="D21" s="9">
        <f>VLOOKUP(A21,'Product Price'!$1:$1048576,4,FALSE)</f>
        <v>112000</v>
      </c>
      <c r="E21" s="8">
        <v>1</v>
      </c>
      <c r="F21" s="9">
        <f t="shared" si="1"/>
        <v>112000</v>
      </c>
    </row>
    <row r="22" spans="1:6" x14ac:dyDescent="0.3">
      <c r="A22" s="7" t="s">
        <v>223</v>
      </c>
      <c r="B22" s="8" t="s">
        <v>4</v>
      </c>
      <c r="C22" s="8" t="s">
        <v>220</v>
      </c>
      <c r="D22" s="9">
        <f>5000*E19</f>
        <v>35000</v>
      </c>
      <c r="E22" s="8">
        <v>1</v>
      </c>
      <c r="F22" s="9">
        <f t="shared" si="1"/>
        <v>35000</v>
      </c>
    </row>
    <row r="23" spans="1:6" x14ac:dyDescent="0.3">
      <c r="A23" s="7" t="s">
        <v>223</v>
      </c>
      <c r="B23" s="8" t="s">
        <v>225</v>
      </c>
      <c r="C23" s="8" t="s">
        <v>220</v>
      </c>
      <c r="D23" s="9">
        <v>20000</v>
      </c>
      <c r="E23" s="8">
        <v>1</v>
      </c>
      <c r="F23" s="9">
        <f t="shared" si="1"/>
        <v>20000</v>
      </c>
    </row>
    <row r="24" spans="1:6" x14ac:dyDescent="0.3">
      <c r="A24" s="7" t="s">
        <v>223</v>
      </c>
      <c r="B24" s="8" t="s">
        <v>7</v>
      </c>
      <c r="C24" s="8" t="s">
        <v>220</v>
      </c>
      <c r="D24" s="9">
        <f>2500*E19</f>
        <v>17500</v>
      </c>
      <c r="E24" s="8">
        <v>1</v>
      </c>
      <c r="F24" s="9">
        <f t="shared" si="1"/>
        <v>17500</v>
      </c>
    </row>
    <row r="25" spans="1:6" x14ac:dyDescent="0.3">
      <c r="A25" s="7" t="s">
        <v>223</v>
      </c>
      <c r="B25" s="8" t="s">
        <v>5</v>
      </c>
      <c r="C25" s="7" t="s">
        <v>223</v>
      </c>
      <c r="D25" s="8"/>
      <c r="E25" s="8"/>
      <c r="F25" s="8"/>
    </row>
    <row r="26" spans="1:6" x14ac:dyDescent="0.3">
      <c r="A26" s="7" t="s">
        <v>223</v>
      </c>
      <c r="B26" s="8" t="s">
        <v>6</v>
      </c>
      <c r="C26" s="7" t="s">
        <v>223</v>
      </c>
      <c r="D26" s="8"/>
      <c r="E26" s="8"/>
      <c r="F26" s="8"/>
    </row>
    <row r="29" spans="1:6" ht="25.2" customHeight="1" x14ac:dyDescent="0.3">
      <c r="B29" s="18" t="s">
        <v>265</v>
      </c>
      <c r="C29" s="16" t="s">
        <v>0</v>
      </c>
      <c r="D29" s="16"/>
      <c r="F29" t="s">
        <v>270</v>
      </c>
    </row>
    <row r="30" spans="1:6" ht="25.2" customHeight="1" x14ac:dyDescent="0.3">
      <c r="B30" s="19"/>
      <c r="C30" s="17">
        <f>SUM(F33:F38)</f>
        <v>424000</v>
      </c>
      <c r="D30" s="17"/>
      <c r="F30" t="s">
        <v>271</v>
      </c>
    </row>
    <row r="32" spans="1:6" ht="15" thickBot="1" x14ac:dyDescent="0.35">
      <c r="A32" s="6" t="s">
        <v>222</v>
      </c>
      <c r="B32" s="6" t="s">
        <v>1</v>
      </c>
      <c r="C32" s="6" t="s">
        <v>2</v>
      </c>
      <c r="D32" s="6" t="s">
        <v>224</v>
      </c>
      <c r="E32" s="6" t="s">
        <v>3</v>
      </c>
      <c r="F32" s="6" t="s">
        <v>221</v>
      </c>
    </row>
    <row r="33" spans="1:6" ht="15" thickBot="1" x14ac:dyDescent="0.35">
      <c r="A33" s="2" t="s">
        <v>70</v>
      </c>
      <c r="B33" s="8" t="str">
        <f>VLOOKUP(A33,'Product Price'!$1:$1048576,2,FALSE)</f>
        <v>Solar Panel OSDA 610W Bifacial</v>
      </c>
      <c r="C33" s="8" t="str">
        <f>VLOOKUP(A33,'Product Price'!$1:$1048576,3,FALSE)</f>
        <v>each</v>
      </c>
      <c r="D33" s="9">
        <f>VLOOKUP(A33,'Product Price'!$1:$1048576,4,FALSE)</f>
        <v>8260</v>
      </c>
      <c r="E33" s="8">
        <v>10</v>
      </c>
      <c r="F33" s="9">
        <f>D33*E33</f>
        <v>82600</v>
      </c>
    </row>
    <row r="34" spans="1:6" ht="15" thickBot="1" x14ac:dyDescent="0.35">
      <c r="A34" s="2" t="s">
        <v>121</v>
      </c>
      <c r="B34" s="8" t="str">
        <f>VLOOKUP(A34,'Product Price'!$1:$1048576,2,FALSE)</f>
        <v>Inverter Hybrid 8kw SOLIS</v>
      </c>
      <c r="C34" s="8" t="str">
        <f>VLOOKUP(A34,'Product Price'!$1:$1048576,3,FALSE)</f>
        <v>each</v>
      </c>
      <c r="D34" s="9">
        <f>VLOOKUP(A34,'Product Price'!$1:$1048576,4,FALSE)</f>
        <v>79800</v>
      </c>
      <c r="E34" s="8">
        <v>1</v>
      </c>
      <c r="F34" s="9">
        <f t="shared" ref="F34:F38" si="2">D34*E34</f>
        <v>79800</v>
      </c>
    </row>
    <row r="35" spans="1:6" ht="15" thickBot="1" x14ac:dyDescent="0.35">
      <c r="A35" s="2" t="s">
        <v>228</v>
      </c>
      <c r="B35" s="11" t="str">
        <f>VLOOKUP(A35,'Product Price'!$1:$1048576,2,FALSE)</f>
        <v>Battery 51.2volts 315ah MENRED</v>
      </c>
      <c r="C35" s="8" t="str">
        <f>VLOOKUP(A35,'Product Price'!$1:$1048576,3,FALSE)</f>
        <v>each</v>
      </c>
      <c r="D35" s="9">
        <f>VLOOKUP(A35,'Product Price'!$1:$1048576,4,FALSE)</f>
        <v>166600</v>
      </c>
      <c r="E35" s="8">
        <v>1</v>
      </c>
      <c r="F35" s="9">
        <f t="shared" si="2"/>
        <v>166600</v>
      </c>
    </row>
    <row r="36" spans="1:6" x14ac:dyDescent="0.3">
      <c r="A36" s="7" t="s">
        <v>223</v>
      </c>
      <c r="B36" s="8" t="s">
        <v>4</v>
      </c>
      <c r="C36" s="8" t="s">
        <v>220</v>
      </c>
      <c r="D36" s="9">
        <f>5000*E33</f>
        <v>50000</v>
      </c>
      <c r="E36" s="8">
        <v>1</v>
      </c>
      <c r="F36" s="9">
        <f t="shared" si="2"/>
        <v>50000</v>
      </c>
    </row>
    <row r="37" spans="1:6" x14ac:dyDescent="0.3">
      <c r="A37" s="7" t="s">
        <v>223</v>
      </c>
      <c r="B37" s="8" t="s">
        <v>225</v>
      </c>
      <c r="C37" s="8" t="s">
        <v>220</v>
      </c>
      <c r="D37" s="9">
        <v>20000</v>
      </c>
      <c r="E37" s="8">
        <v>1</v>
      </c>
      <c r="F37" s="9">
        <f t="shared" si="2"/>
        <v>20000</v>
      </c>
    </row>
    <row r="38" spans="1:6" x14ac:dyDescent="0.3">
      <c r="A38" s="7" t="s">
        <v>223</v>
      </c>
      <c r="B38" s="8" t="s">
        <v>7</v>
      </c>
      <c r="C38" s="8" t="s">
        <v>220</v>
      </c>
      <c r="D38" s="9">
        <f>2500*E33</f>
        <v>25000</v>
      </c>
      <c r="E38" s="8">
        <v>1</v>
      </c>
      <c r="F38" s="9">
        <f t="shared" si="2"/>
        <v>25000</v>
      </c>
    </row>
    <row r="39" spans="1:6" x14ac:dyDescent="0.3">
      <c r="A39" s="7" t="s">
        <v>223</v>
      </c>
      <c r="B39" s="8" t="s">
        <v>5</v>
      </c>
      <c r="C39" s="7" t="s">
        <v>223</v>
      </c>
      <c r="D39" s="8"/>
      <c r="E39" s="8"/>
      <c r="F39" s="8"/>
    </row>
    <row r="40" spans="1:6" x14ac:dyDescent="0.3">
      <c r="A40" s="7" t="s">
        <v>223</v>
      </c>
      <c r="B40" s="8" t="s">
        <v>6</v>
      </c>
      <c r="C40" s="7" t="s">
        <v>223</v>
      </c>
      <c r="D40" s="8"/>
      <c r="E40" s="8"/>
      <c r="F40" s="8"/>
    </row>
    <row r="43" spans="1:6" ht="25.2" customHeight="1" x14ac:dyDescent="0.3">
      <c r="B43" s="15" t="s">
        <v>266</v>
      </c>
      <c r="C43" s="16" t="s">
        <v>0</v>
      </c>
      <c r="D43" s="16"/>
      <c r="F43" t="s">
        <v>272</v>
      </c>
    </row>
    <row r="44" spans="1:6" ht="25.95" customHeight="1" x14ac:dyDescent="0.3">
      <c r="B44" s="15"/>
      <c r="C44" s="17">
        <f>SUM(F47:F52)</f>
        <v>552240</v>
      </c>
      <c r="D44" s="17"/>
      <c r="F44" t="s">
        <v>273</v>
      </c>
    </row>
    <row r="46" spans="1:6" ht="15" thickBot="1" x14ac:dyDescent="0.35">
      <c r="A46" s="6" t="s">
        <v>222</v>
      </c>
      <c r="B46" s="6" t="s">
        <v>1</v>
      </c>
      <c r="C46" s="6" t="s">
        <v>2</v>
      </c>
      <c r="D46" s="6" t="s">
        <v>224</v>
      </c>
      <c r="E46" s="6" t="s">
        <v>3</v>
      </c>
      <c r="F46" s="6" t="s">
        <v>221</v>
      </c>
    </row>
    <row r="47" spans="1:6" ht="15" thickBot="1" x14ac:dyDescent="0.35">
      <c r="A47" s="2" t="s">
        <v>70</v>
      </c>
      <c r="B47" s="8" t="str">
        <f>VLOOKUP(A47,'Product Price'!$1:$1048576,2,FALSE)</f>
        <v>Solar Panel OSDA 610W Bifacial</v>
      </c>
      <c r="C47" s="8" t="str">
        <f>VLOOKUP(A47,'Product Price'!$1:$1048576,3,FALSE)</f>
        <v>each</v>
      </c>
      <c r="D47" s="9">
        <f>VLOOKUP(A47,'Product Price'!$1:$1048576,4,FALSE)</f>
        <v>8260</v>
      </c>
      <c r="E47" s="8">
        <v>14</v>
      </c>
      <c r="F47" s="9">
        <f>D47*E47</f>
        <v>115640</v>
      </c>
    </row>
    <row r="48" spans="1:6" ht="15" thickBot="1" x14ac:dyDescent="0.35">
      <c r="A48" s="2" t="s">
        <v>52</v>
      </c>
      <c r="B48" s="8" t="str">
        <f>VLOOKUP(A48,'Product Price'!$1:$1048576,2,FALSE)</f>
        <v>Inverter Hybrid10kw DEYE</v>
      </c>
      <c r="C48" s="8" t="str">
        <f>VLOOKUP(A48,'Product Price'!$1:$1048576,3,FALSE)</f>
        <v>each</v>
      </c>
      <c r="D48" s="9">
        <f>VLOOKUP(A48,'Product Price'!$1:$1048576,4,FALSE)</f>
        <v>140000</v>
      </c>
      <c r="E48" s="8">
        <v>1</v>
      </c>
      <c r="F48" s="9">
        <f t="shared" ref="F48:F52" si="3">D48*E48</f>
        <v>140000</v>
      </c>
    </row>
    <row r="49" spans="1:6" ht="15" thickBot="1" x14ac:dyDescent="0.35">
      <c r="A49" s="2" t="s">
        <v>228</v>
      </c>
      <c r="B49" s="11" t="str">
        <f>VLOOKUP(A49,'Product Price'!$1:$1048576,2,FALSE)</f>
        <v>Battery 51.2volts 315ah MENRED</v>
      </c>
      <c r="C49" s="8" t="str">
        <f>VLOOKUP(A49,'Product Price'!$1:$1048576,3,FALSE)</f>
        <v>each</v>
      </c>
      <c r="D49" s="9">
        <f>VLOOKUP(A49,'Product Price'!$1:$1048576,4,FALSE)</f>
        <v>166600</v>
      </c>
      <c r="E49" s="8">
        <v>1</v>
      </c>
      <c r="F49" s="9">
        <f t="shared" si="3"/>
        <v>166600</v>
      </c>
    </row>
    <row r="50" spans="1:6" x14ac:dyDescent="0.3">
      <c r="A50" s="7" t="s">
        <v>223</v>
      </c>
      <c r="B50" s="8" t="s">
        <v>4</v>
      </c>
      <c r="C50" s="8" t="s">
        <v>220</v>
      </c>
      <c r="D50" s="9">
        <f>5000*E47</f>
        <v>70000</v>
      </c>
      <c r="E50" s="8">
        <v>1</v>
      </c>
      <c r="F50" s="9">
        <f t="shared" si="3"/>
        <v>70000</v>
      </c>
    </row>
    <row r="51" spans="1:6" x14ac:dyDescent="0.3">
      <c r="A51" s="7" t="s">
        <v>223</v>
      </c>
      <c r="B51" s="8" t="s">
        <v>225</v>
      </c>
      <c r="C51" s="8" t="s">
        <v>220</v>
      </c>
      <c r="D51" s="9">
        <v>25000</v>
      </c>
      <c r="E51" s="8">
        <v>1</v>
      </c>
      <c r="F51" s="9">
        <f t="shared" si="3"/>
        <v>25000</v>
      </c>
    </row>
    <row r="52" spans="1:6" x14ac:dyDescent="0.3">
      <c r="A52" s="7" t="s">
        <v>223</v>
      </c>
      <c r="B52" s="8" t="s">
        <v>7</v>
      </c>
      <c r="C52" s="8" t="s">
        <v>220</v>
      </c>
      <c r="D52" s="9">
        <f>2500*E47</f>
        <v>35000</v>
      </c>
      <c r="E52" s="8">
        <v>1</v>
      </c>
      <c r="F52" s="9">
        <f t="shared" si="3"/>
        <v>35000</v>
      </c>
    </row>
    <row r="53" spans="1:6" x14ac:dyDescent="0.3">
      <c r="A53" s="7" t="s">
        <v>223</v>
      </c>
      <c r="B53" s="8" t="s">
        <v>5</v>
      </c>
      <c r="C53" s="7" t="s">
        <v>223</v>
      </c>
      <c r="D53" s="8"/>
      <c r="E53" s="8"/>
      <c r="F53" s="8"/>
    </row>
    <row r="54" spans="1:6" x14ac:dyDescent="0.3">
      <c r="A54" s="7" t="s">
        <v>223</v>
      </c>
      <c r="B54" s="8" t="s">
        <v>6</v>
      </c>
      <c r="C54" s="7" t="s">
        <v>223</v>
      </c>
      <c r="D54" s="8"/>
      <c r="E54" s="8"/>
      <c r="F54" s="8"/>
    </row>
    <row r="57" spans="1:6" ht="25.2" customHeight="1" x14ac:dyDescent="0.3">
      <c r="B57" s="15" t="s">
        <v>267</v>
      </c>
      <c r="C57" s="16" t="s">
        <v>0</v>
      </c>
      <c r="D57" s="16"/>
      <c r="F57" t="s">
        <v>274</v>
      </c>
    </row>
    <row r="58" spans="1:6" ht="25.2" customHeight="1" x14ac:dyDescent="0.3">
      <c r="B58" s="15"/>
      <c r="C58" s="17">
        <f>SUM(F61:F66)</f>
        <v>627740</v>
      </c>
      <c r="D58" s="17"/>
      <c r="F58" t="s">
        <v>273</v>
      </c>
    </row>
    <row r="60" spans="1:6" ht="15" thickBot="1" x14ac:dyDescent="0.35">
      <c r="A60" s="6" t="s">
        <v>222</v>
      </c>
      <c r="B60" s="6" t="s">
        <v>1</v>
      </c>
      <c r="C60" s="6" t="s">
        <v>2</v>
      </c>
      <c r="D60" s="6" t="s">
        <v>224</v>
      </c>
      <c r="E60" s="6" t="s">
        <v>3</v>
      </c>
      <c r="F60" s="6" t="s">
        <v>221</v>
      </c>
    </row>
    <row r="61" spans="1:6" ht="15" thickBot="1" x14ac:dyDescent="0.35">
      <c r="A61" s="2" t="s">
        <v>70</v>
      </c>
      <c r="B61" s="8" t="str">
        <f>VLOOKUP(A61,'Product Price'!$1:$1048576,2,FALSE)</f>
        <v>Solar Panel OSDA 610W Bifacial</v>
      </c>
      <c r="C61" s="8" t="str">
        <f>VLOOKUP(A61,'Product Price'!$1:$1048576,3,FALSE)</f>
        <v>each</v>
      </c>
      <c r="D61" s="9">
        <f>VLOOKUP(A61,'Product Price'!$1:$1048576,4,FALSE)</f>
        <v>8260</v>
      </c>
      <c r="E61" s="8">
        <v>18</v>
      </c>
      <c r="F61" s="9">
        <f>D61*E61</f>
        <v>148680</v>
      </c>
    </row>
    <row r="62" spans="1:6" ht="15" thickBot="1" x14ac:dyDescent="0.35">
      <c r="A62" s="2" t="s">
        <v>122</v>
      </c>
      <c r="B62" s="8" t="str">
        <f>VLOOKUP(A62,'Product Price'!$1:$1048576,2,FALSE)</f>
        <v>Inverter Hybrid 12kw SOLIS</v>
      </c>
      <c r="C62" s="8" t="str">
        <f>VLOOKUP(A62,'Product Price'!$1:$1048576,3,FALSE)</f>
        <v>each</v>
      </c>
      <c r="D62" s="9">
        <f>VLOOKUP(A62,'Product Price'!$1:$1048576,4,FALSE)</f>
        <v>152460</v>
      </c>
      <c r="E62" s="8">
        <v>1</v>
      </c>
      <c r="F62" s="9">
        <f t="shared" ref="F62:F66" si="4">D62*E62</f>
        <v>152460</v>
      </c>
    </row>
    <row r="63" spans="1:6" ht="15" thickBot="1" x14ac:dyDescent="0.35">
      <c r="A63" s="2" t="s">
        <v>228</v>
      </c>
      <c r="B63" s="11" t="str">
        <f>VLOOKUP(A63,'Product Price'!$1:$1048576,2,FALSE)</f>
        <v>Battery 51.2volts 315ah MENRED</v>
      </c>
      <c r="C63" s="8" t="str">
        <f>VLOOKUP(A63,'Product Price'!$1:$1048576,3,FALSE)</f>
        <v>each</v>
      </c>
      <c r="D63" s="9">
        <f>VLOOKUP(A63,'Product Price'!$1:$1048576,4,FALSE)</f>
        <v>166600</v>
      </c>
      <c r="E63" s="8">
        <v>1</v>
      </c>
      <c r="F63" s="9">
        <f t="shared" si="4"/>
        <v>166600</v>
      </c>
    </row>
    <row r="64" spans="1:6" x14ac:dyDescent="0.3">
      <c r="A64" s="7" t="s">
        <v>223</v>
      </c>
      <c r="B64" s="8" t="s">
        <v>4</v>
      </c>
      <c r="C64" s="8" t="s">
        <v>220</v>
      </c>
      <c r="D64" s="9">
        <f>5000*E61</f>
        <v>90000</v>
      </c>
      <c r="E64" s="8">
        <v>1</v>
      </c>
      <c r="F64" s="9">
        <f t="shared" si="4"/>
        <v>90000</v>
      </c>
    </row>
    <row r="65" spans="1:6" x14ac:dyDescent="0.3">
      <c r="A65" s="7" t="s">
        <v>223</v>
      </c>
      <c r="B65" s="8" t="s">
        <v>225</v>
      </c>
      <c r="C65" s="8" t="s">
        <v>220</v>
      </c>
      <c r="D65" s="9">
        <v>25000</v>
      </c>
      <c r="E65" s="8">
        <v>1</v>
      </c>
      <c r="F65" s="9">
        <f t="shared" si="4"/>
        <v>25000</v>
      </c>
    </row>
    <row r="66" spans="1:6" x14ac:dyDescent="0.3">
      <c r="A66" s="7" t="s">
        <v>223</v>
      </c>
      <c r="B66" s="8" t="s">
        <v>7</v>
      </c>
      <c r="C66" s="8" t="s">
        <v>220</v>
      </c>
      <c r="D66" s="9">
        <f>2500*E61</f>
        <v>45000</v>
      </c>
      <c r="E66" s="8">
        <v>1</v>
      </c>
      <c r="F66" s="9">
        <f t="shared" si="4"/>
        <v>45000</v>
      </c>
    </row>
    <row r="67" spans="1:6" x14ac:dyDescent="0.3">
      <c r="A67" s="7" t="s">
        <v>223</v>
      </c>
      <c r="B67" s="8" t="s">
        <v>5</v>
      </c>
      <c r="C67" s="7" t="s">
        <v>223</v>
      </c>
      <c r="D67" s="8"/>
      <c r="E67" s="8"/>
      <c r="F67" s="8"/>
    </row>
    <row r="68" spans="1:6" x14ac:dyDescent="0.3">
      <c r="A68" s="7" t="s">
        <v>223</v>
      </c>
      <c r="B68" s="8" t="s">
        <v>6</v>
      </c>
      <c r="C68" s="7" t="s">
        <v>223</v>
      </c>
      <c r="D68" s="8"/>
      <c r="E68" s="8"/>
      <c r="F68" s="8"/>
    </row>
  </sheetData>
  <mergeCells count="15">
    <mergeCell ref="B1:B2"/>
    <mergeCell ref="C1:D1"/>
    <mergeCell ref="C2:D2"/>
    <mergeCell ref="B15:B16"/>
    <mergeCell ref="C15:D15"/>
    <mergeCell ref="C16:D16"/>
    <mergeCell ref="B57:B58"/>
    <mergeCell ref="C57:D57"/>
    <mergeCell ref="C58:D58"/>
    <mergeCell ref="B29:B30"/>
    <mergeCell ref="C29:D29"/>
    <mergeCell ref="C30:D30"/>
    <mergeCell ref="B43:B44"/>
    <mergeCell ref="C43:D43"/>
    <mergeCell ref="C44:D4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8EF7-2F3F-4513-B211-3F2EF29579C7}">
  <dimension ref="A1:AA998"/>
  <sheetViews>
    <sheetView tabSelected="1" zoomScale="115" zoomScaleNormal="115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7.6640625" bestFit="1" customWidth="1"/>
    <col min="2" max="2" width="40.6640625" bestFit="1" customWidth="1"/>
    <col min="4" max="4" width="12" customWidth="1"/>
    <col min="5" max="5" width="13.109375" customWidth="1"/>
    <col min="6" max="6" width="13.88671875" customWidth="1"/>
    <col min="7" max="7" width="13.44140625" customWidth="1"/>
    <col min="8" max="8" width="14.5546875" customWidth="1"/>
  </cols>
  <sheetData>
    <row r="1" spans="1:27" ht="43.8" thickBot="1" x14ac:dyDescent="0.35">
      <c r="A1" s="1" t="s">
        <v>9</v>
      </c>
      <c r="B1" s="1" t="s">
        <v>10</v>
      </c>
      <c r="C1" s="1" t="s">
        <v>2</v>
      </c>
      <c r="D1" s="1" t="s">
        <v>219</v>
      </c>
      <c r="E1" s="1" t="s">
        <v>218</v>
      </c>
      <c r="F1" s="1" t="s">
        <v>11</v>
      </c>
      <c r="G1" s="1" t="s">
        <v>12</v>
      </c>
      <c r="H1" s="1" t="s">
        <v>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9.4" thickBot="1" x14ac:dyDescent="0.35">
      <c r="A2" s="2" t="s">
        <v>14</v>
      </c>
      <c r="B2" s="2" t="s">
        <v>182</v>
      </c>
      <c r="C2" s="2" t="s">
        <v>15</v>
      </c>
      <c r="D2" s="5">
        <f t="shared" ref="D2:D65" si="0">E2*1.4</f>
        <v>30799.999999999996</v>
      </c>
      <c r="E2" s="2">
        <v>22000</v>
      </c>
      <c r="F2" s="3">
        <v>22000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9.4" thickBot="1" x14ac:dyDescent="0.35">
      <c r="A3" s="2" t="s">
        <v>16</v>
      </c>
      <c r="B3" s="2" t="s">
        <v>174</v>
      </c>
      <c r="C3" s="2" t="s">
        <v>15</v>
      </c>
      <c r="D3" s="5">
        <f t="shared" si="0"/>
        <v>62999.999999999993</v>
      </c>
      <c r="E3" s="2">
        <v>45000</v>
      </c>
      <c r="F3" s="3">
        <v>45000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9.4" thickBot="1" x14ac:dyDescent="0.35">
      <c r="A4" s="2" t="s">
        <v>17</v>
      </c>
      <c r="B4" s="2" t="s">
        <v>171</v>
      </c>
      <c r="C4" s="2" t="s">
        <v>15</v>
      </c>
      <c r="D4" s="5">
        <f t="shared" si="0"/>
        <v>5110</v>
      </c>
      <c r="E4" s="2">
        <v>3650</v>
      </c>
      <c r="F4" s="3">
        <v>3650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9.4" thickBot="1" x14ac:dyDescent="0.35">
      <c r="A5" s="2" t="s">
        <v>18</v>
      </c>
      <c r="B5" s="2" t="s">
        <v>172</v>
      </c>
      <c r="C5" s="2" t="s">
        <v>15</v>
      </c>
      <c r="D5" s="5">
        <f t="shared" si="0"/>
        <v>140</v>
      </c>
      <c r="E5" s="2">
        <v>100</v>
      </c>
      <c r="F5" s="4">
        <v>100</v>
      </c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9.4" thickBot="1" x14ac:dyDescent="0.35">
      <c r="A6" s="2" t="s">
        <v>19</v>
      </c>
      <c r="B6" s="2" t="s">
        <v>20</v>
      </c>
      <c r="C6" s="2" t="s">
        <v>15</v>
      </c>
      <c r="D6" s="5">
        <f t="shared" si="0"/>
        <v>56</v>
      </c>
      <c r="E6" s="2">
        <v>40</v>
      </c>
      <c r="F6" s="4"/>
      <c r="G6" s="4">
        <v>40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9.4" thickBot="1" x14ac:dyDescent="0.35">
      <c r="A7" s="2" t="s">
        <v>21</v>
      </c>
      <c r="B7" s="2" t="s">
        <v>200</v>
      </c>
      <c r="C7" s="2" t="s">
        <v>15</v>
      </c>
      <c r="D7" s="5">
        <f t="shared" si="0"/>
        <v>560</v>
      </c>
      <c r="E7" s="2">
        <v>400</v>
      </c>
      <c r="F7" s="4">
        <v>400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9.4" thickBot="1" x14ac:dyDescent="0.35">
      <c r="A8" s="2" t="s">
        <v>22</v>
      </c>
      <c r="B8" s="2" t="s">
        <v>161</v>
      </c>
      <c r="C8" s="2" t="s">
        <v>15</v>
      </c>
      <c r="D8" s="5">
        <f t="shared" si="0"/>
        <v>3220</v>
      </c>
      <c r="E8" s="2">
        <v>2300</v>
      </c>
      <c r="F8" s="3">
        <v>2300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9.4" thickBot="1" x14ac:dyDescent="0.35">
      <c r="A9" s="2" t="s">
        <v>23</v>
      </c>
      <c r="B9" s="2" t="s">
        <v>213</v>
      </c>
      <c r="C9" s="2" t="s">
        <v>15</v>
      </c>
      <c r="D9" s="5">
        <f t="shared" si="0"/>
        <v>280</v>
      </c>
      <c r="E9" s="2">
        <v>200</v>
      </c>
      <c r="F9" s="4"/>
      <c r="G9" s="4">
        <v>200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9.4" thickBot="1" x14ac:dyDescent="0.35">
      <c r="A10" s="2" t="s">
        <v>24</v>
      </c>
      <c r="B10" s="2" t="s">
        <v>201</v>
      </c>
      <c r="C10" s="2" t="s">
        <v>15</v>
      </c>
      <c r="D10" s="5">
        <f t="shared" si="0"/>
        <v>1162</v>
      </c>
      <c r="E10" s="2">
        <v>830</v>
      </c>
      <c r="F10" s="4">
        <v>830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9.4" thickBot="1" x14ac:dyDescent="0.35">
      <c r="A11" s="2" t="s">
        <v>25</v>
      </c>
      <c r="B11" s="2" t="s">
        <v>162</v>
      </c>
      <c r="C11" s="2" t="s">
        <v>15</v>
      </c>
      <c r="D11" s="5">
        <f t="shared" si="0"/>
        <v>798</v>
      </c>
      <c r="E11" s="2">
        <v>570</v>
      </c>
      <c r="F11" s="4">
        <v>570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9.4" thickBot="1" x14ac:dyDescent="0.35">
      <c r="A12" s="2" t="s">
        <v>26</v>
      </c>
      <c r="B12" s="2" t="s">
        <v>163</v>
      </c>
      <c r="C12" s="2" t="s">
        <v>15</v>
      </c>
      <c r="D12" s="5">
        <f t="shared" si="0"/>
        <v>112</v>
      </c>
      <c r="E12" s="2">
        <v>80</v>
      </c>
      <c r="F12" s="4">
        <v>80</v>
      </c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9.4" thickBot="1" x14ac:dyDescent="0.35">
      <c r="A13" s="2" t="s">
        <v>27</v>
      </c>
      <c r="B13" s="2" t="s">
        <v>166</v>
      </c>
      <c r="C13" s="2" t="s">
        <v>15</v>
      </c>
      <c r="D13" s="5">
        <f t="shared" si="0"/>
        <v>62.999999999999993</v>
      </c>
      <c r="E13" s="2">
        <v>45</v>
      </c>
      <c r="F13" s="4">
        <v>45</v>
      </c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9.4" thickBot="1" x14ac:dyDescent="0.35">
      <c r="A14" s="2" t="s">
        <v>28</v>
      </c>
      <c r="B14" s="2" t="s">
        <v>167</v>
      </c>
      <c r="C14" s="2" t="s">
        <v>15</v>
      </c>
      <c r="D14" s="5">
        <f t="shared" si="0"/>
        <v>62.999999999999993</v>
      </c>
      <c r="E14" s="2">
        <v>45</v>
      </c>
      <c r="F14" s="4">
        <v>45</v>
      </c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9.4" thickBot="1" x14ac:dyDescent="0.35">
      <c r="A15" s="2" t="s">
        <v>29</v>
      </c>
      <c r="B15" s="2" t="s">
        <v>30</v>
      </c>
      <c r="C15" s="2" t="s">
        <v>110</v>
      </c>
      <c r="D15" s="5">
        <f t="shared" si="0"/>
        <v>420</v>
      </c>
      <c r="E15" s="2">
        <v>300</v>
      </c>
      <c r="F15" s="4">
        <v>300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9.4" thickBot="1" x14ac:dyDescent="0.35">
      <c r="A16" s="2" t="s">
        <v>31</v>
      </c>
      <c r="B16" s="2" t="s">
        <v>32</v>
      </c>
      <c r="C16" s="2" t="s">
        <v>15</v>
      </c>
      <c r="D16" s="5">
        <f t="shared" si="0"/>
        <v>21</v>
      </c>
      <c r="E16" s="2">
        <v>15</v>
      </c>
      <c r="F16" s="4">
        <v>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9.4" thickBot="1" x14ac:dyDescent="0.35">
      <c r="A17" s="2" t="s">
        <v>33</v>
      </c>
      <c r="B17" s="2" t="s">
        <v>275</v>
      </c>
      <c r="C17" s="2" t="s">
        <v>15</v>
      </c>
      <c r="D17" s="5">
        <f t="shared" si="0"/>
        <v>979.99999999999989</v>
      </c>
      <c r="E17" s="2">
        <v>700</v>
      </c>
      <c r="F17" s="4">
        <v>350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9.4" thickBot="1" x14ac:dyDescent="0.35">
      <c r="A18" s="2" t="s">
        <v>34</v>
      </c>
      <c r="B18" s="2" t="s">
        <v>184</v>
      </c>
      <c r="C18" s="2" t="s">
        <v>15</v>
      </c>
      <c r="D18" s="5">
        <f t="shared" si="0"/>
        <v>49000</v>
      </c>
      <c r="E18" s="2">
        <v>35000</v>
      </c>
      <c r="F18" s="3">
        <v>35000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9.4" thickBot="1" x14ac:dyDescent="0.35">
      <c r="A19" s="2" t="s">
        <v>35</v>
      </c>
      <c r="B19" s="2" t="s">
        <v>173</v>
      </c>
      <c r="C19" s="2" t="s">
        <v>15</v>
      </c>
      <c r="D19" s="5">
        <f t="shared" si="0"/>
        <v>88200</v>
      </c>
      <c r="E19" s="2">
        <v>63000</v>
      </c>
      <c r="F19" s="3">
        <v>63000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9.4" thickBot="1" x14ac:dyDescent="0.35">
      <c r="A20" s="2" t="s">
        <v>36</v>
      </c>
      <c r="B20" s="2" t="s">
        <v>276</v>
      </c>
      <c r="C20" s="2" t="s">
        <v>15</v>
      </c>
      <c r="D20" s="5">
        <f t="shared" si="0"/>
        <v>3500</v>
      </c>
      <c r="E20" s="2">
        <v>2500</v>
      </c>
      <c r="F20" s="3">
        <v>2500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9.4" thickBot="1" x14ac:dyDescent="0.35">
      <c r="A21" s="2" t="s">
        <v>37</v>
      </c>
      <c r="B21" s="2" t="s">
        <v>210</v>
      </c>
      <c r="C21" s="2" t="s">
        <v>15</v>
      </c>
      <c r="D21" s="5">
        <f t="shared" si="0"/>
        <v>112</v>
      </c>
      <c r="E21" s="2">
        <v>80</v>
      </c>
      <c r="F21" s="4">
        <v>80</v>
      </c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9.4" thickBot="1" x14ac:dyDescent="0.35">
      <c r="A22" s="2" t="s">
        <v>38</v>
      </c>
      <c r="B22" s="2" t="s">
        <v>39</v>
      </c>
      <c r="C22" s="2" t="s">
        <v>15</v>
      </c>
      <c r="D22" s="5">
        <f t="shared" si="0"/>
        <v>1330</v>
      </c>
      <c r="E22" s="2">
        <v>950</v>
      </c>
      <c r="F22" s="4">
        <v>950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9.4" thickBot="1" x14ac:dyDescent="0.35">
      <c r="A23" s="2" t="s">
        <v>40</v>
      </c>
      <c r="B23" s="2" t="s">
        <v>202</v>
      </c>
      <c r="C23" s="2" t="s">
        <v>15</v>
      </c>
      <c r="D23" s="5">
        <f t="shared" si="0"/>
        <v>602</v>
      </c>
      <c r="E23" s="2">
        <v>430</v>
      </c>
      <c r="F23" s="4">
        <v>430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9.4" thickBot="1" x14ac:dyDescent="0.35">
      <c r="A24" s="2" t="s">
        <v>41</v>
      </c>
      <c r="B24" s="2" t="s">
        <v>203</v>
      </c>
      <c r="C24" s="2" t="s">
        <v>15</v>
      </c>
      <c r="D24" s="5">
        <f t="shared" si="0"/>
        <v>280</v>
      </c>
      <c r="E24" s="2">
        <v>200</v>
      </c>
      <c r="F24" s="4">
        <v>200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9.4" thickBot="1" x14ac:dyDescent="0.35">
      <c r="A25" s="2" t="s">
        <v>42</v>
      </c>
      <c r="B25" s="2" t="s">
        <v>204</v>
      </c>
      <c r="C25" s="2" t="s">
        <v>15</v>
      </c>
      <c r="D25" s="5">
        <f t="shared" si="0"/>
        <v>560</v>
      </c>
      <c r="E25" s="2">
        <v>400</v>
      </c>
      <c r="F25" s="4">
        <v>400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9.4" thickBot="1" x14ac:dyDescent="0.35">
      <c r="A26" s="2" t="s">
        <v>43</v>
      </c>
      <c r="B26" s="2" t="s">
        <v>277</v>
      </c>
      <c r="C26" s="2" t="s">
        <v>15</v>
      </c>
      <c r="D26" s="5">
        <f t="shared" si="0"/>
        <v>2100</v>
      </c>
      <c r="E26" s="2">
        <v>1500</v>
      </c>
      <c r="F26" s="3">
        <v>1500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9.4" thickBot="1" x14ac:dyDescent="0.35">
      <c r="A27" s="2" t="s">
        <v>44</v>
      </c>
      <c r="B27" s="2" t="s">
        <v>209</v>
      </c>
      <c r="C27" s="2" t="s">
        <v>15</v>
      </c>
      <c r="D27" s="5">
        <f t="shared" si="0"/>
        <v>700</v>
      </c>
      <c r="E27" s="2">
        <v>500</v>
      </c>
      <c r="F27" s="3"/>
      <c r="G27" s="4">
        <v>500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9.4" thickBot="1" x14ac:dyDescent="0.35">
      <c r="A28" s="2" t="s">
        <v>45</v>
      </c>
      <c r="B28" s="2" t="s">
        <v>46</v>
      </c>
      <c r="C28" s="2" t="s">
        <v>15</v>
      </c>
      <c r="D28" s="5">
        <f t="shared" si="0"/>
        <v>489.99999999999994</v>
      </c>
      <c r="E28" s="2">
        <v>350</v>
      </c>
      <c r="F28" s="4">
        <v>350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9.4" thickBot="1" x14ac:dyDescent="0.35">
      <c r="A29" s="2" t="s">
        <v>47</v>
      </c>
      <c r="B29" s="2" t="s">
        <v>48</v>
      </c>
      <c r="C29" s="2" t="s">
        <v>15</v>
      </c>
      <c r="D29" s="5">
        <f t="shared" si="0"/>
        <v>28</v>
      </c>
      <c r="E29" s="2">
        <v>20</v>
      </c>
      <c r="F29" s="4">
        <v>20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9.4" thickBot="1" x14ac:dyDescent="0.35">
      <c r="A30" s="2" t="s">
        <v>49</v>
      </c>
      <c r="B30" s="2" t="s">
        <v>183</v>
      </c>
      <c r="C30" s="2" t="s">
        <v>15</v>
      </c>
      <c r="D30" s="5">
        <f t="shared" si="0"/>
        <v>118999.99999999999</v>
      </c>
      <c r="E30" s="2">
        <v>85000</v>
      </c>
      <c r="F30" s="3">
        <v>60000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9.4" thickBot="1" x14ac:dyDescent="0.35">
      <c r="A31" s="2" t="s">
        <v>50</v>
      </c>
      <c r="B31" s="2" t="s">
        <v>51</v>
      </c>
      <c r="C31" s="2" t="s">
        <v>15</v>
      </c>
      <c r="D31" s="5">
        <f t="shared" si="0"/>
        <v>770</v>
      </c>
      <c r="E31" s="2">
        <v>550</v>
      </c>
      <c r="F31" s="4">
        <v>550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9.4" thickBot="1" x14ac:dyDescent="0.35">
      <c r="A32" s="2" t="s">
        <v>52</v>
      </c>
      <c r="B32" s="2" t="s">
        <v>185</v>
      </c>
      <c r="C32" s="2" t="s">
        <v>15</v>
      </c>
      <c r="D32" s="5">
        <f t="shared" si="0"/>
        <v>140000</v>
      </c>
      <c r="E32" s="2">
        <v>100000</v>
      </c>
      <c r="F32" s="3">
        <v>81341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9.4" thickBot="1" x14ac:dyDescent="0.35">
      <c r="A33" s="2" t="s">
        <v>53</v>
      </c>
      <c r="B33" s="2" t="s">
        <v>54</v>
      </c>
      <c r="C33" s="2" t="s">
        <v>15</v>
      </c>
      <c r="D33" s="5">
        <f t="shared" si="0"/>
        <v>840</v>
      </c>
      <c r="E33" s="2">
        <v>600</v>
      </c>
      <c r="F33" s="4">
        <v>600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9.4" thickBot="1" x14ac:dyDescent="0.35">
      <c r="A34" s="2" t="s">
        <v>55</v>
      </c>
      <c r="B34" s="2" t="s">
        <v>186</v>
      </c>
      <c r="C34" s="2" t="s">
        <v>15</v>
      </c>
      <c r="D34" s="5">
        <f t="shared" si="0"/>
        <v>96600</v>
      </c>
      <c r="E34" s="2">
        <v>69000</v>
      </c>
      <c r="F34" s="3">
        <v>69000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9.4" thickBot="1" x14ac:dyDescent="0.35">
      <c r="A35" s="2" t="s">
        <v>56</v>
      </c>
      <c r="B35" s="2" t="s">
        <v>175</v>
      </c>
      <c r="C35" s="2" t="s">
        <v>15</v>
      </c>
      <c r="D35" s="5">
        <f t="shared" si="0"/>
        <v>46200</v>
      </c>
      <c r="E35" s="2">
        <v>33000</v>
      </c>
      <c r="F35" s="3">
        <v>33000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9.4" thickBot="1" x14ac:dyDescent="0.35">
      <c r="A36" s="2" t="s">
        <v>57</v>
      </c>
      <c r="B36" s="2" t="s">
        <v>58</v>
      </c>
      <c r="C36" s="2" t="s">
        <v>15</v>
      </c>
      <c r="D36" s="5">
        <f t="shared" si="0"/>
        <v>5880</v>
      </c>
      <c r="E36" s="2">
        <v>4200</v>
      </c>
      <c r="F36" s="3">
        <v>4200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9.4" thickBot="1" x14ac:dyDescent="0.35">
      <c r="A37" s="2" t="s">
        <v>59</v>
      </c>
      <c r="B37" s="2" t="s">
        <v>187</v>
      </c>
      <c r="C37" s="2" t="s">
        <v>15</v>
      </c>
      <c r="D37" s="5">
        <f t="shared" si="0"/>
        <v>35840</v>
      </c>
      <c r="E37" s="2">
        <v>25600</v>
      </c>
      <c r="F37" s="3">
        <v>25600</v>
      </c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29.4" thickBot="1" x14ac:dyDescent="0.35">
      <c r="A38" s="2" t="s">
        <v>60</v>
      </c>
      <c r="B38" s="2" t="s">
        <v>205</v>
      </c>
      <c r="C38" s="2" t="s">
        <v>15</v>
      </c>
      <c r="D38" s="5">
        <f t="shared" si="0"/>
        <v>280</v>
      </c>
      <c r="E38" s="2">
        <v>200</v>
      </c>
      <c r="F38" s="4">
        <v>200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9.4" thickBot="1" x14ac:dyDescent="0.35">
      <c r="A39" s="2" t="s">
        <v>61</v>
      </c>
      <c r="B39" s="2" t="s">
        <v>278</v>
      </c>
      <c r="C39" s="2" t="s">
        <v>15</v>
      </c>
      <c r="D39" s="5">
        <f t="shared" si="0"/>
        <v>979.99999999999989</v>
      </c>
      <c r="E39" s="2">
        <v>700</v>
      </c>
      <c r="F39" s="4">
        <v>700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29.4" thickBot="1" x14ac:dyDescent="0.35">
      <c r="A40" s="2" t="s">
        <v>62</v>
      </c>
      <c r="B40" s="2" t="s">
        <v>63</v>
      </c>
      <c r="C40" s="2" t="s">
        <v>15</v>
      </c>
      <c r="D40" s="5">
        <f t="shared" si="0"/>
        <v>5040</v>
      </c>
      <c r="E40" s="2">
        <v>3600</v>
      </c>
      <c r="F40" s="2"/>
      <c r="G40" s="3">
        <v>3600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9.4" thickBot="1" x14ac:dyDescent="0.35">
      <c r="A41" s="2" t="s">
        <v>64</v>
      </c>
      <c r="B41" s="2" t="s">
        <v>229</v>
      </c>
      <c r="C41" s="2" t="s">
        <v>15</v>
      </c>
      <c r="D41" s="5">
        <f t="shared" si="0"/>
        <v>7140</v>
      </c>
      <c r="E41" s="2">
        <v>5100</v>
      </c>
      <c r="F41" s="2"/>
      <c r="G41" s="3">
        <v>5100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9.4" thickBot="1" x14ac:dyDescent="0.35">
      <c r="A42" s="2" t="s">
        <v>65</v>
      </c>
      <c r="B42" s="2" t="s">
        <v>66</v>
      </c>
      <c r="C42" s="2" t="s">
        <v>15</v>
      </c>
      <c r="D42" s="5">
        <f t="shared" si="0"/>
        <v>7559.9999999999991</v>
      </c>
      <c r="E42" s="2">
        <v>5400</v>
      </c>
      <c r="F42" s="2"/>
      <c r="G42" s="3">
        <v>5400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29.4" thickBot="1" x14ac:dyDescent="0.35">
      <c r="A43" s="2" t="s">
        <v>67</v>
      </c>
      <c r="B43" s="2" t="s">
        <v>263</v>
      </c>
      <c r="C43" s="2" t="s">
        <v>15</v>
      </c>
      <c r="D43" s="5">
        <f t="shared" si="0"/>
        <v>7279.9999999999991</v>
      </c>
      <c r="E43" s="2">
        <v>5200</v>
      </c>
      <c r="F43" s="2">
        <v>5200</v>
      </c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29.4" thickBot="1" x14ac:dyDescent="0.35">
      <c r="A44" s="2" t="s">
        <v>68</v>
      </c>
      <c r="B44" s="2" t="s">
        <v>69</v>
      </c>
      <c r="C44" s="2" t="s">
        <v>15</v>
      </c>
      <c r="D44" s="5">
        <f t="shared" si="0"/>
        <v>6160</v>
      </c>
      <c r="E44" s="2">
        <v>4400</v>
      </c>
      <c r="F44" s="2"/>
      <c r="G44" s="3">
        <v>4400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9.4" thickBot="1" x14ac:dyDescent="0.35">
      <c r="A45" s="2" t="s">
        <v>70</v>
      </c>
      <c r="B45" s="2" t="s">
        <v>262</v>
      </c>
      <c r="C45" s="2" t="s">
        <v>15</v>
      </c>
      <c r="D45" s="5">
        <f>F45*1.4</f>
        <v>8260</v>
      </c>
      <c r="E45" s="2">
        <v>5900</v>
      </c>
      <c r="F45" s="2">
        <v>5900</v>
      </c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29.4" thickBot="1" x14ac:dyDescent="0.35">
      <c r="A46" s="2" t="s">
        <v>71</v>
      </c>
      <c r="B46" s="2" t="s">
        <v>72</v>
      </c>
      <c r="C46" s="2" t="s">
        <v>15</v>
      </c>
      <c r="D46" s="5">
        <f t="shared" si="0"/>
        <v>7839.9999999999991</v>
      </c>
      <c r="E46" s="2">
        <v>5600</v>
      </c>
      <c r="F46" s="3"/>
      <c r="G46" s="3">
        <v>5600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9.4" thickBot="1" x14ac:dyDescent="0.35">
      <c r="A47" s="2" t="s">
        <v>73</v>
      </c>
      <c r="B47" s="2" t="s">
        <v>176</v>
      </c>
      <c r="C47" s="2" t="s">
        <v>15</v>
      </c>
      <c r="D47" s="5">
        <f t="shared" si="0"/>
        <v>51800</v>
      </c>
      <c r="E47" s="2">
        <v>37000</v>
      </c>
      <c r="F47" s="2"/>
      <c r="G47" s="3">
        <v>37000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29.4" thickBot="1" x14ac:dyDescent="0.35">
      <c r="A48" s="2" t="s">
        <v>74</v>
      </c>
      <c r="B48" s="2" t="s">
        <v>177</v>
      </c>
      <c r="C48" s="2" t="s">
        <v>15</v>
      </c>
      <c r="D48" s="5">
        <f t="shared" si="0"/>
        <v>125999.99999999999</v>
      </c>
      <c r="E48" s="2">
        <v>90000</v>
      </c>
      <c r="F48" s="2"/>
      <c r="G48" s="3">
        <v>90000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29.4" thickBot="1" x14ac:dyDescent="0.35">
      <c r="A49" s="10" t="s">
        <v>75</v>
      </c>
      <c r="B49" s="10" t="s">
        <v>235</v>
      </c>
      <c r="C49" s="2" t="s">
        <v>15</v>
      </c>
      <c r="D49" s="5">
        <f t="shared" si="0"/>
        <v>112000</v>
      </c>
      <c r="E49" s="2">
        <v>80000</v>
      </c>
      <c r="F49" s="2"/>
      <c r="G49" s="3">
        <v>72000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29.4" thickBot="1" x14ac:dyDescent="0.35">
      <c r="A50" s="10" t="s">
        <v>76</v>
      </c>
      <c r="B50" s="10" t="s">
        <v>234</v>
      </c>
      <c r="C50" s="2" t="s">
        <v>15</v>
      </c>
      <c r="D50" s="5">
        <f t="shared" si="0"/>
        <v>57399.999999999993</v>
      </c>
      <c r="E50" s="2">
        <v>41000</v>
      </c>
      <c r="F50" s="2"/>
      <c r="G50" s="3">
        <v>40000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29.4" thickBot="1" x14ac:dyDescent="0.35">
      <c r="A51" s="2" t="s">
        <v>77</v>
      </c>
      <c r="B51" s="2" t="s">
        <v>178</v>
      </c>
      <c r="C51" s="2" t="s">
        <v>15</v>
      </c>
      <c r="D51" s="5">
        <f t="shared" si="0"/>
        <v>30799.999999999996</v>
      </c>
      <c r="E51" s="2">
        <v>22000</v>
      </c>
      <c r="F51" s="2"/>
      <c r="G51" s="3">
        <v>22000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9.4" thickBot="1" x14ac:dyDescent="0.35">
      <c r="A52" s="2" t="s">
        <v>78</v>
      </c>
      <c r="B52" s="2" t="s">
        <v>188</v>
      </c>
      <c r="C52" s="2" t="s">
        <v>15</v>
      </c>
      <c r="D52" s="5">
        <f t="shared" si="0"/>
        <v>30799.999999999996</v>
      </c>
      <c r="E52" s="2">
        <v>22000</v>
      </c>
      <c r="F52" s="2"/>
      <c r="G52" s="3">
        <v>22000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9.4" thickBot="1" x14ac:dyDescent="0.35">
      <c r="A53" s="2" t="s">
        <v>79</v>
      </c>
      <c r="B53" s="2" t="s">
        <v>189</v>
      </c>
      <c r="C53" s="2" t="s">
        <v>15</v>
      </c>
      <c r="D53" s="5">
        <f t="shared" si="0"/>
        <v>36064</v>
      </c>
      <c r="E53" s="2">
        <v>25760</v>
      </c>
      <c r="F53" s="2"/>
      <c r="G53" s="3">
        <v>25760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29.4" thickBot="1" x14ac:dyDescent="0.35">
      <c r="A54" s="2" t="s">
        <v>80</v>
      </c>
      <c r="B54" s="2" t="s">
        <v>190</v>
      </c>
      <c r="C54" s="2" t="s">
        <v>15</v>
      </c>
      <c r="D54" s="5">
        <f t="shared" si="0"/>
        <v>59247.999999999993</v>
      </c>
      <c r="E54" s="2">
        <v>42320</v>
      </c>
      <c r="F54" s="2"/>
      <c r="G54" s="3">
        <v>42320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29.4" thickBot="1" x14ac:dyDescent="0.35">
      <c r="A55" s="2" t="s">
        <v>81</v>
      </c>
      <c r="B55" s="2" t="s">
        <v>191</v>
      </c>
      <c r="C55" s="2" t="s">
        <v>15</v>
      </c>
      <c r="D55" s="5">
        <f t="shared" si="0"/>
        <v>73416</v>
      </c>
      <c r="E55" s="2">
        <v>52440</v>
      </c>
      <c r="F55" s="2"/>
      <c r="G55" s="3">
        <v>52440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29.4" thickBot="1" x14ac:dyDescent="0.35">
      <c r="A56" s="2" t="s">
        <v>82</v>
      </c>
      <c r="B56" s="2" t="s">
        <v>83</v>
      </c>
      <c r="C56" s="2" t="s">
        <v>15</v>
      </c>
      <c r="D56" s="5">
        <f t="shared" si="0"/>
        <v>1400</v>
      </c>
      <c r="E56" s="2">
        <v>1000</v>
      </c>
      <c r="F56" s="2"/>
      <c r="G56" s="3">
        <v>1000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9.4" thickBot="1" x14ac:dyDescent="0.35">
      <c r="A57" s="2" t="s">
        <v>84</v>
      </c>
      <c r="B57" s="2" t="s">
        <v>85</v>
      </c>
      <c r="C57" s="2" t="s">
        <v>15</v>
      </c>
      <c r="D57" s="5">
        <f t="shared" si="0"/>
        <v>979.99999999999989</v>
      </c>
      <c r="E57" s="2">
        <v>700</v>
      </c>
      <c r="F57" s="2"/>
      <c r="G57" s="4">
        <v>700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29.4" thickBot="1" x14ac:dyDescent="0.35">
      <c r="A58" s="2" t="s">
        <v>86</v>
      </c>
      <c r="B58" s="2" t="s">
        <v>87</v>
      </c>
      <c r="C58" s="2" t="s">
        <v>15</v>
      </c>
      <c r="D58" s="5">
        <f t="shared" si="0"/>
        <v>1120</v>
      </c>
      <c r="E58" s="2">
        <v>800</v>
      </c>
      <c r="F58" s="2"/>
      <c r="G58" s="4">
        <v>800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29.4" thickBot="1" x14ac:dyDescent="0.35">
      <c r="A59" s="2" t="s">
        <v>88</v>
      </c>
      <c r="B59" s="2" t="s">
        <v>170</v>
      </c>
      <c r="C59" s="2" t="s">
        <v>15</v>
      </c>
      <c r="D59" s="5">
        <f t="shared" si="0"/>
        <v>56</v>
      </c>
      <c r="E59" s="2">
        <v>40</v>
      </c>
      <c r="F59" s="2"/>
      <c r="G59" s="4">
        <v>40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9.4" thickBot="1" x14ac:dyDescent="0.35">
      <c r="A60" s="2" t="s">
        <v>89</v>
      </c>
      <c r="B60" s="2" t="s">
        <v>179</v>
      </c>
      <c r="C60" s="2" t="s">
        <v>15</v>
      </c>
      <c r="D60" s="5">
        <f t="shared" si="0"/>
        <v>56</v>
      </c>
      <c r="E60" s="2">
        <v>40</v>
      </c>
      <c r="F60" s="2"/>
      <c r="G60" s="4">
        <v>40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9.4" thickBot="1" x14ac:dyDescent="0.35">
      <c r="A61" s="2" t="s">
        <v>90</v>
      </c>
      <c r="B61" s="2" t="s">
        <v>180</v>
      </c>
      <c r="C61" s="2" t="s">
        <v>15</v>
      </c>
      <c r="D61" s="5">
        <f t="shared" si="0"/>
        <v>420</v>
      </c>
      <c r="E61" s="2">
        <v>300</v>
      </c>
      <c r="F61" s="2"/>
      <c r="G61" s="4">
        <v>300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29.4" thickBot="1" x14ac:dyDescent="0.35">
      <c r="A62" s="2" t="s">
        <v>91</v>
      </c>
      <c r="B62" s="2" t="s">
        <v>92</v>
      </c>
      <c r="C62" s="2" t="s">
        <v>15</v>
      </c>
      <c r="D62" s="5">
        <f t="shared" si="0"/>
        <v>1120</v>
      </c>
      <c r="E62" s="2">
        <v>800</v>
      </c>
      <c r="F62" s="2"/>
      <c r="G62" s="4">
        <v>800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29.4" thickBot="1" x14ac:dyDescent="0.35">
      <c r="A63" s="2" t="s">
        <v>93</v>
      </c>
      <c r="B63" s="2" t="s">
        <v>94</v>
      </c>
      <c r="C63" s="2" t="s">
        <v>15</v>
      </c>
      <c r="D63" s="5">
        <f t="shared" si="0"/>
        <v>560</v>
      </c>
      <c r="E63" s="2">
        <v>400</v>
      </c>
      <c r="F63" s="2"/>
      <c r="G63" s="4">
        <v>400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9.4" thickBot="1" x14ac:dyDescent="0.35">
      <c r="A64" s="2" t="s">
        <v>95</v>
      </c>
      <c r="B64" s="2" t="s">
        <v>96</v>
      </c>
      <c r="C64" s="2" t="s">
        <v>15</v>
      </c>
      <c r="D64" s="5">
        <f t="shared" si="0"/>
        <v>280</v>
      </c>
      <c r="E64" s="2">
        <v>200</v>
      </c>
      <c r="F64" s="2"/>
      <c r="G64" s="4">
        <v>200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29.4" thickBot="1" x14ac:dyDescent="0.35">
      <c r="A65" s="2" t="s">
        <v>97</v>
      </c>
      <c r="B65" s="2" t="s">
        <v>181</v>
      </c>
      <c r="C65" s="2" t="s">
        <v>15</v>
      </c>
      <c r="D65" s="5">
        <f t="shared" si="0"/>
        <v>107.8</v>
      </c>
      <c r="E65" s="2">
        <v>77</v>
      </c>
      <c r="F65" s="2"/>
      <c r="G65" s="4">
        <v>77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29.4" thickBot="1" x14ac:dyDescent="0.35">
      <c r="A66" s="2" t="s">
        <v>98</v>
      </c>
      <c r="B66" s="2" t="s">
        <v>279</v>
      </c>
      <c r="C66" s="2" t="s">
        <v>15</v>
      </c>
      <c r="D66" s="5">
        <f t="shared" ref="D66:D120" si="1">E66*1.4</f>
        <v>3639.9999999999995</v>
      </c>
      <c r="E66" s="2">
        <v>2600</v>
      </c>
      <c r="F66" s="2"/>
      <c r="G66" s="3">
        <v>2600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29.4" thickBot="1" x14ac:dyDescent="0.35">
      <c r="A67" s="2" t="s">
        <v>99</v>
      </c>
      <c r="B67" s="2" t="s">
        <v>206</v>
      </c>
      <c r="C67" s="2" t="s">
        <v>15</v>
      </c>
      <c r="D67" s="5">
        <f t="shared" si="1"/>
        <v>489.99999999999994</v>
      </c>
      <c r="E67" s="2">
        <v>350</v>
      </c>
      <c r="F67" s="2"/>
      <c r="G67" s="4">
        <v>350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29.4" thickBot="1" x14ac:dyDescent="0.35">
      <c r="A68" s="2" t="s">
        <v>100</v>
      </c>
      <c r="B68" s="2" t="s">
        <v>207</v>
      </c>
      <c r="C68" s="2" t="s">
        <v>15</v>
      </c>
      <c r="D68" s="5">
        <f t="shared" si="1"/>
        <v>489.99999999999994</v>
      </c>
      <c r="E68" s="2">
        <v>350</v>
      </c>
      <c r="F68" s="2"/>
      <c r="G68" s="4">
        <v>350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29.4" thickBot="1" x14ac:dyDescent="0.35">
      <c r="A69" s="2" t="s">
        <v>101</v>
      </c>
      <c r="B69" s="2" t="s">
        <v>208</v>
      </c>
      <c r="C69" s="2" t="s">
        <v>15</v>
      </c>
      <c r="D69" s="5">
        <f t="shared" si="1"/>
        <v>700</v>
      </c>
      <c r="E69" s="2">
        <v>500</v>
      </c>
      <c r="F69" s="2"/>
      <c r="G69" s="4">
        <v>500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29.4" thickBot="1" x14ac:dyDescent="0.35">
      <c r="A70" s="2" t="s">
        <v>102</v>
      </c>
      <c r="B70" s="2" t="s">
        <v>103</v>
      </c>
      <c r="C70" s="2" t="s">
        <v>15</v>
      </c>
      <c r="D70" s="5">
        <f t="shared" si="1"/>
        <v>420</v>
      </c>
      <c r="E70" s="2">
        <v>300</v>
      </c>
      <c r="F70" s="2"/>
      <c r="G70" s="4">
        <v>300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29.4" thickBot="1" x14ac:dyDescent="0.35">
      <c r="A71" s="2" t="s">
        <v>104</v>
      </c>
      <c r="B71" s="2" t="s">
        <v>105</v>
      </c>
      <c r="C71" s="2" t="s">
        <v>15</v>
      </c>
      <c r="D71" s="5">
        <f t="shared" si="1"/>
        <v>420</v>
      </c>
      <c r="E71" s="2">
        <v>300</v>
      </c>
      <c r="F71" s="2"/>
      <c r="G71" s="4">
        <v>300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29.4" thickBot="1" x14ac:dyDescent="0.35">
      <c r="A72" s="2" t="s">
        <v>106</v>
      </c>
      <c r="B72" s="2" t="s">
        <v>107</v>
      </c>
      <c r="C72" s="2" t="s">
        <v>15</v>
      </c>
      <c r="D72" s="5">
        <f t="shared" si="1"/>
        <v>560</v>
      </c>
      <c r="E72" s="2">
        <v>400</v>
      </c>
      <c r="F72" s="2"/>
      <c r="G72" s="4">
        <v>400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29.4" thickBot="1" x14ac:dyDescent="0.35">
      <c r="A73" s="2" t="s">
        <v>108</v>
      </c>
      <c r="B73" s="2" t="s">
        <v>109</v>
      </c>
      <c r="C73" s="2" t="s">
        <v>110</v>
      </c>
      <c r="D73" s="5">
        <f t="shared" si="1"/>
        <v>203</v>
      </c>
      <c r="E73" s="2">
        <v>145</v>
      </c>
      <c r="F73" s="2"/>
      <c r="G73" s="4">
        <v>145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29.4" thickBot="1" x14ac:dyDescent="0.35">
      <c r="A74" s="2" t="s">
        <v>111</v>
      </c>
      <c r="B74" s="2" t="s">
        <v>112</v>
      </c>
      <c r="C74" s="2" t="s">
        <v>110</v>
      </c>
      <c r="D74" s="5">
        <f t="shared" si="1"/>
        <v>138.6</v>
      </c>
      <c r="E74" s="2">
        <v>99</v>
      </c>
      <c r="F74" s="2"/>
      <c r="G74" s="4">
        <v>99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29.4" thickBot="1" x14ac:dyDescent="0.35">
      <c r="A75" s="2" t="s">
        <v>113</v>
      </c>
      <c r="B75" s="2" t="s">
        <v>114</v>
      </c>
      <c r="C75" s="2" t="s">
        <v>110</v>
      </c>
      <c r="D75" s="5">
        <f t="shared" si="1"/>
        <v>285.59999999999997</v>
      </c>
      <c r="E75" s="2">
        <v>204</v>
      </c>
      <c r="F75" s="2"/>
      <c r="G75" s="4">
        <v>204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9.4" thickBot="1" x14ac:dyDescent="0.35">
      <c r="A76" s="2" t="s">
        <v>115</v>
      </c>
      <c r="B76" s="2" t="s">
        <v>116</v>
      </c>
      <c r="C76" s="2" t="s">
        <v>110</v>
      </c>
      <c r="D76" s="5">
        <f t="shared" si="1"/>
        <v>285.59999999999997</v>
      </c>
      <c r="E76" s="2">
        <v>204</v>
      </c>
      <c r="F76" s="2"/>
      <c r="G76" s="4">
        <v>204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29.4" thickBot="1" x14ac:dyDescent="0.35">
      <c r="A77" s="2" t="s">
        <v>117</v>
      </c>
      <c r="B77" s="2" t="s">
        <v>192</v>
      </c>
      <c r="C77" s="2" t="s">
        <v>15</v>
      </c>
      <c r="D77" s="5">
        <f t="shared" si="1"/>
        <v>49000</v>
      </c>
      <c r="E77" s="2">
        <v>35000</v>
      </c>
      <c r="F77" s="2"/>
      <c r="G77" s="3">
        <v>40000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29.4" thickBot="1" x14ac:dyDescent="0.35">
      <c r="A78" s="2" t="s">
        <v>118</v>
      </c>
      <c r="B78" s="2" t="s">
        <v>193</v>
      </c>
      <c r="C78" s="2" t="s">
        <v>15</v>
      </c>
      <c r="D78" s="5">
        <f t="shared" si="1"/>
        <v>60199.999999999993</v>
      </c>
      <c r="E78" s="2">
        <v>43000</v>
      </c>
      <c r="F78" s="2"/>
      <c r="G78" s="3">
        <v>43000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29.4" thickBot="1" x14ac:dyDescent="0.35">
      <c r="A79" s="2" t="s">
        <v>119</v>
      </c>
      <c r="B79" s="2" t="s">
        <v>194</v>
      </c>
      <c r="C79" s="2" t="s">
        <v>15</v>
      </c>
      <c r="D79" s="5">
        <f t="shared" si="1"/>
        <v>64679.999999999993</v>
      </c>
      <c r="E79" s="2">
        <v>46200</v>
      </c>
      <c r="F79" s="2"/>
      <c r="G79" s="3">
        <v>46200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29.4" thickBot="1" x14ac:dyDescent="0.35">
      <c r="A80" s="2" t="s">
        <v>120</v>
      </c>
      <c r="B80" s="2" t="s">
        <v>195</v>
      </c>
      <c r="C80" s="2" t="s">
        <v>15</v>
      </c>
      <c r="D80" s="5">
        <f t="shared" si="1"/>
        <v>110600</v>
      </c>
      <c r="E80" s="2">
        <v>79000</v>
      </c>
      <c r="F80" s="2"/>
      <c r="G80" s="3">
        <v>79000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29.4" thickBot="1" x14ac:dyDescent="0.35">
      <c r="A81" s="2" t="s">
        <v>121</v>
      </c>
      <c r="B81" s="2" t="s">
        <v>196</v>
      </c>
      <c r="C81" s="2" t="s">
        <v>15</v>
      </c>
      <c r="D81" s="5">
        <f t="shared" si="1"/>
        <v>79800</v>
      </c>
      <c r="E81" s="2">
        <v>57000</v>
      </c>
      <c r="F81" s="2"/>
      <c r="G81" s="3">
        <v>73800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29.4" thickBot="1" x14ac:dyDescent="0.35">
      <c r="A82" s="2" t="s">
        <v>122</v>
      </c>
      <c r="B82" s="2" t="s">
        <v>197</v>
      </c>
      <c r="C82" s="2" t="s">
        <v>15</v>
      </c>
      <c r="D82" s="5">
        <f t="shared" si="1"/>
        <v>152460</v>
      </c>
      <c r="E82" s="2">
        <v>108900</v>
      </c>
      <c r="F82" s="2"/>
      <c r="G82" s="3">
        <v>108900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29.4" thickBot="1" x14ac:dyDescent="0.35">
      <c r="A83" s="2" t="s">
        <v>123</v>
      </c>
      <c r="B83" s="2" t="s">
        <v>198</v>
      </c>
      <c r="C83" s="2" t="s">
        <v>15</v>
      </c>
      <c r="D83" s="5">
        <f t="shared" si="1"/>
        <v>194600</v>
      </c>
      <c r="E83" s="2">
        <v>139000</v>
      </c>
      <c r="F83" s="2"/>
      <c r="G83" s="3">
        <v>139000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29.4" thickBot="1" x14ac:dyDescent="0.35">
      <c r="A84" s="2" t="s">
        <v>124</v>
      </c>
      <c r="B84" s="2" t="s">
        <v>168</v>
      </c>
      <c r="C84" s="2" t="s">
        <v>15</v>
      </c>
      <c r="D84" s="5">
        <f t="shared" si="1"/>
        <v>70</v>
      </c>
      <c r="E84" s="2">
        <v>50</v>
      </c>
      <c r="F84" s="2"/>
      <c r="G84" s="4">
        <v>50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29.4" thickBot="1" x14ac:dyDescent="0.35">
      <c r="A85" s="2" t="s">
        <v>125</v>
      </c>
      <c r="B85" s="2" t="s">
        <v>169</v>
      </c>
      <c r="C85" s="2" t="s">
        <v>15</v>
      </c>
      <c r="D85" s="5">
        <f t="shared" si="1"/>
        <v>70</v>
      </c>
      <c r="E85" s="2">
        <v>50</v>
      </c>
      <c r="F85" s="2"/>
      <c r="G85" s="4">
        <v>50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29.4" thickBot="1" x14ac:dyDescent="0.35">
      <c r="A86" s="2" t="s">
        <v>126</v>
      </c>
      <c r="B86" s="2" t="s">
        <v>127</v>
      </c>
      <c r="C86" s="2" t="s">
        <v>110</v>
      </c>
      <c r="D86" s="5">
        <f t="shared" si="1"/>
        <v>133</v>
      </c>
      <c r="E86" s="2">
        <v>95</v>
      </c>
      <c r="F86" s="2"/>
      <c r="G86" s="4">
        <v>95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29.4" thickBot="1" x14ac:dyDescent="0.35">
      <c r="A87" s="2" t="s">
        <v>128</v>
      </c>
      <c r="B87" s="2" t="s">
        <v>129</v>
      </c>
      <c r="C87" s="2" t="s">
        <v>110</v>
      </c>
      <c r="D87" s="5">
        <f t="shared" si="1"/>
        <v>144.19999999999999</v>
      </c>
      <c r="E87" s="2">
        <v>103</v>
      </c>
      <c r="F87" s="2"/>
      <c r="G87" s="4">
        <v>103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29.4" thickBot="1" x14ac:dyDescent="0.35">
      <c r="A88" s="2" t="s">
        <v>130</v>
      </c>
      <c r="B88" s="2" t="s">
        <v>131</v>
      </c>
      <c r="C88" s="2" t="s">
        <v>110</v>
      </c>
      <c r="D88" s="5">
        <f t="shared" si="1"/>
        <v>58.8</v>
      </c>
      <c r="E88" s="2">
        <v>42</v>
      </c>
      <c r="F88" s="2"/>
      <c r="G88" s="4">
        <v>42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29.4" thickBot="1" x14ac:dyDescent="0.35">
      <c r="A89" s="2" t="s">
        <v>132</v>
      </c>
      <c r="B89" s="2" t="s">
        <v>133</v>
      </c>
      <c r="C89" s="2" t="s">
        <v>110</v>
      </c>
      <c r="D89" s="5">
        <f t="shared" si="1"/>
        <v>58.8</v>
      </c>
      <c r="E89" s="2">
        <v>42</v>
      </c>
      <c r="F89" s="2"/>
      <c r="G89" s="4">
        <v>42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29.4" thickBot="1" x14ac:dyDescent="0.35">
      <c r="A90" s="2" t="s">
        <v>134</v>
      </c>
      <c r="B90" s="2" t="s">
        <v>135</v>
      </c>
      <c r="C90" s="2" t="s">
        <v>110</v>
      </c>
      <c r="D90" s="5">
        <f t="shared" si="1"/>
        <v>77</v>
      </c>
      <c r="E90" s="2">
        <v>55</v>
      </c>
      <c r="F90" s="2"/>
      <c r="G90" s="4">
        <v>55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29.4" thickBot="1" x14ac:dyDescent="0.35">
      <c r="A91" s="2" t="s">
        <v>136</v>
      </c>
      <c r="B91" s="2" t="s">
        <v>137</v>
      </c>
      <c r="C91" s="2" t="s">
        <v>110</v>
      </c>
      <c r="D91" s="5">
        <f t="shared" si="1"/>
        <v>77</v>
      </c>
      <c r="E91" s="2">
        <v>55</v>
      </c>
      <c r="F91" s="2"/>
      <c r="G91" s="4">
        <v>55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29.4" thickBot="1" x14ac:dyDescent="0.35">
      <c r="A92" s="2" t="s">
        <v>138</v>
      </c>
      <c r="B92" s="2" t="s">
        <v>139</v>
      </c>
      <c r="C92" s="2" t="s">
        <v>110</v>
      </c>
      <c r="D92" s="5">
        <f t="shared" si="1"/>
        <v>65.8</v>
      </c>
      <c r="E92" s="2">
        <v>47</v>
      </c>
      <c r="F92" s="2"/>
      <c r="G92" s="4">
        <v>47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29.4" thickBot="1" x14ac:dyDescent="0.35">
      <c r="A93" s="2" t="s">
        <v>140</v>
      </c>
      <c r="B93" s="2" t="s">
        <v>141</v>
      </c>
      <c r="C93" s="2" t="s">
        <v>110</v>
      </c>
      <c r="D93" s="5">
        <f t="shared" si="1"/>
        <v>65.8</v>
      </c>
      <c r="E93" s="2">
        <v>47</v>
      </c>
      <c r="F93" s="2"/>
      <c r="G93" s="4">
        <v>47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29.4" thickBot="1" x14ac:dyDescent="0.35">
      <c r="A94" s="2" t="s">
        <v>142</v>
      </c>
      <c r="B94" s="2" t="s">
        <v>143</v>
      </c>
      <c r="C94" s="2" t="s">
        <v>110</v>
      </c>
      <c r="D94" s="5">
        <f t="shared" si="1"/>
        <v>112</v>
      </c>
      <c r="E94" s="2">
        <v>80</v>
      </c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29.4" thickBot="1" x14ac:dyDescent="0.35">
      <c r="A95" s="2" t="s">
        <v>144</v>
      </c>
      <c r="B95" s="2" t="s">
        <v>145</v>
      </c>
      <c r="C95" s="2" t="s">
        <v>110</v>
      </c>
      <c r="D95" s="5">
        <f t="shared" si="1"/>
        <v>112</v>
      </c>
      <c r="E95" s="2">
        <v>80</v>
      </c>
      <c r="F95" s="2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29.4" thickBot="1" x14ac:dyDescent="0.35">
      <c r="A96" s="2" t="s">
        <v>146</v>
      </c>
      <c r="B96" s="2" t="s">
        <v>147</v>
      </c>
      <c r="C96" s="2" t="s">
        <v>15</v>
      </c>
      <c r="D96" s="5">
        <f t="shared" si="1"/>
        <v>350</v>
      </c>
      <c r="E96" s="2">
        <v>250</v>
      </c>
      <c r="F96" s="2"/>
      <c r="G96" s="4">
        <v>250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29.4" thickBot="1" x14ac:dyDescent="0.35">
      <c r="A97" s="2" t="s">
        <v>148</v>
      </c>
      <c r="B97" s="2" t="s">
        <v>149</v>
      </c>
      <c r="C97" s="2" t="s">
        <v>15</v>
      </c>
      <c r="D97" s="5">
        <f t="shared" si="1"/>
        <v>350</v>
      </c>
      <c r="E97" s="2">
        <v>250</v>
      </c>
      <c r="F97" s="2"/>
      <c r="G97" s="4">
        <v>250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29.4" thickBot="1" x14ac:dyDescent="0.35">
      <c r="A98" s="2" t="s">
        <v>150</v>
      </c>
      <c r="B98" s="2" t="s">
        <v>151</v>
      </c>
      <c r="C98" s="2" t="s">
        <v>15</v>
      </c>
      <c r="D98" s="5">
        <f t="shared" si="1"/>
        <v>560</v>
      </c>
      <c r="E98" s="2">
        <v>400</v>
      </c>
      <c r="F98" s="2"/>
      <c r="G98" s="4">
        <v>400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29.4" thickBot="1" x14ac:dyDescent="0.35">
      <c r="A99" s="2" t="s">
        <v>152</v>
      </c>
      <c r="B99" s="2" t="s">
        <v>153</v>
      </c>
      <c r="C99" s="2" t="s">
        <v>15</v>
      </c>
      <c r="D99" s="5">
        <f t="shared" si="1"/>
        <v>1400</v>
      </c>
      <c r="E99" s="2">
        <v>1000</v>
      </c>
      <c r="F99" s="2"/>
      <c r="G99" s="3">
        <v>1000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29.4" thickBot="1" x14ac:dyDescent="0.35">
      <c r="A100" s="2" t="s">
        <v>154</v>
      </c>
      <c r="B100" s="2" t="s">
        <v>155</v>
      </c>
      <c r="C100" s="2" t="s">
        <v>15</v>
      </c>
      <c r="D100" s="5">
        <f t="shared" si="1"/>
        <v>700</v>
      </c>
      <c r="E100" s="2">
        <v>500</v>
      </c>
      <c r="F100" s="2"/>
      <c r="G100" s="4">
        <v>500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29.4" thickBot="1" x14ac:dyDescent="0.35">
      <c r="A101" s="2" t="s">
        <v>156</v>
      </c>
      <c r="B101" s="2" t="s">
        <v>157</v>
      </c>
      <c r="C101" s="2" t="s">
        <v>15</v>
      </c>
      <c r="D101" s="5">
        <f t="shared" si="1"/>
        <v>1400</v>
      </c>
      <c r="E101" s="2">
        <v>1000</v>
      </c>
      <c r="F101" s="2"/>
      <c r="G101" s="3">
        <v>1000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29.4" thickBot="1" x14ac:dyDescent="0.35">
      <c r="A102" s="2" t="s">
        <v>158</v>
      </c>
      <c r="B102" s="2" t="s">
        <v>159</v>
      </c>
      <c r="C102" s="2" t="s">
        <v>15</v>
      </c>
      <c r="D102" s="5">
        <f t="shared" si="1"/>
        <v>1400</v>
      </c>
      <c r="E102" s="2">
        <v>1000</v>
      </c>
      <c r="F102" s="2"/>
      <c r="G102" s="3">
        <v>1000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29.4" thickBot="1" x14ac:dyDescent="0.35">
      <c r="A103" s="2" t="s">
        <v>160</v>
      </c>
      <c r="B103" s="2" t="s">
        <v>199</v>
      </c>
      <c r="C103" s="2" t="s">
        <v>15</v>
      </c>
      <c r="D103" s="5">
        <f t="shared" si="1"/>
        <v>154000</v>
      </c>
      <c r="E103" s="2">
        <v>110000</v>
      </c>
      <c r="F103" s="2"/>
      <c r="G103" s="4">
        <v>110000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29.4" thickBot="1" x14ac:dyDescent="0.35">
      <c r="A104" s="2" t="s">
        <v>164</v>
      </c>
      <c r="B104" s="2" t="s">
        <v>165</v>
      </c>
      <c r="C104" s="2" t="s">
        <v>15</v>
      </c>
      <c r="D104" s="5">
        <f t="shared" si="1"/>
        <v>98</v>
      </c>
      <c r="E104" s="2">
        <v>70</v>
      </c>
      <c r="F104" s="2"/>
      <c r="G104" s="2">
        <v>70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29.4" thickBot="1" x14ac:dyDescent="0.35">
      <c r="A105" s="2" t="s">
        <v>212</v>
      </c>
      <c r="B105" s="2" t="s">
        <v>211</v>
      </c>
      <c r="C105" s="2" t="s">
        <v>15</v>
      </c>
      <c r="D105" s="5">
        <f t="shared" si="1"/>
        <v>98</v>
      </c>
      <c r="E105" s="2">
        <v>70</v>
      </c>
      <c r="F105" s="2"/>
      <c r="G105" s="2">
        <v>70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29.4" thickBot="1" x14ac:dyDescent="0.35">
      <c r="A106" s="2" t="s">
        <v>216</v>
      </c>
      <c r="B106" s="2" t="s">
        <v>214</v>
      </c>
      <c r="C106" s="2" t="s">
        <v>15</v>
      </c>
      <c r="D106" s="5">
        <f t="shared" si="1"/>
        <v>420</v>
      </c>
      <c r="E106" s="2">
        <v>300</v>
      </c>
      <c r="F106" s="2">
        <v>300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29.4" thickBot="1" x14ac:dyDescent="0.35">
      <c r="A107" s="2" t="s">
        <v>217</v>
      </c>
      <c r="B107" s="2" t="s">
        <v>215</v>
      </c>
      <c r="C107" s="2" t="s">
        <v>110</v>
      </c>
      <c r="D107" s="5">
        <f t="shared" si="1"/>
        <v>144.19999999999999</v>
      </c>
      <c r="E107" s="2">
        <v>103</v>
      </c>
      <c r="F107" s="2"/>
      <c r="G107" s="2">
        <v>103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29.4" thickBot="1" x14ac:dyDescent="0.35">
      <c r="A108" s="10" t="s">
        <v>227</v>
      </c>
      <c r="B108" s="10" t="s">
        <v>233</v>
      </c>
      <c r="C108" s="2" t="s">
        <v>15</v>
      </c>
      <c r="D108" s="5">
        <f t="shared" si="1"/>
        <v>132300</v>
      </c>
      <c r="E108" s="2">
        <v>94500</v>
      </c>
      <c r="F108" s="2"/>
      <c r="G108" s="2">
        <v>94000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29.4" thickBot="1" x14ac:dyDescent="0.35">
      <c r="A109" s="2" t="s">
        <v>228</v>
      </c>
      <c r="B109" s="2" t="s">
        <v>292</v>
      </c>
      <c r="C109" s="2" t="s">
        <v>15</v>
      </c>
      <c r="D109" s="5">
        <f t="shared" si="1"/>
        <v>166600</v>
      </c>
      <c r="E109" s="2">
        <v>119000</v>
      </c>
      <c r="F109" s="2"/>
      <c r="G109" s="2">
        <v>73000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29.4" thickBot="1" x14ac:dyDescent="0.35">
      <c r="A110" s="2" t="s">
        <v>232</v>
      </c>
      <c r="B110" s="2" t="s">
        <v>231</v>
      </c>
      <c r="C110" s="2" t="s">
        <v>15</v>
      </c>
      <c r="D110" s="5">
        <f t="shared" si="1"/>
        <v>70000</v>
      </c>
      <c r="E110" s="2">
        <v>50000</v>
      </c>
      <c r="F110" s="2"/>
      <c r="G110" s="2">
        <v>50000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29.4" thickBot="1" x14ac:dyDescent="0.35">
      <c r="A111" s="2" t="s">
        <v>236</v>
      </c>
      <c r="B111" s="2" t="s">
        <v>237</v>
      </c>
      <c r="C111" s="2" t="s">
        <v>15</v>
      </c>
      <c r="D111" s="5">
        <f t="shared" si="1"/>
        <v>62999.999999999993</v>
      </c>
      <c r="E111" s="2">
        <v>45000</v>
      </c>
      <c r="F111" s="2"/>
      <c r="G111" s="2">
        <v>45000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29.4" thickBot="1" x14ac:dyDescent="0.35">
      <c r="A112" s="2" t="s">
        <v>280</v>
      </c>
      <c r="B112" s="2" t="s">
        <v>281</v>
      </c>
      <c r="C112" s="2" t="s">
        <v>15</v>
      </c>
      <c r="D112" s="5">
        <f t="shared" si="1"/>
        <v>102200</v>
      </c>
      <c r="E112" s="2">
        <v>73000</v>
      </c>
      <c r="F112" s="2">
        <v>73000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29.4" thickBot="1" x14ac:dyDescent="0.35">
      <c r="A113" s="2" t="s">
        <v>282</v>
      </c>
      <c r="B113" s="2" t="s">
        <v>283</v>
      </c>
      <c r="C113" s="2" t="s">
        <v>110</v>
      </c>
      <c r="D113" s="5">
        <f t="shared" si="1"/>
        <v>112</v>
      </c>
      <c r="E113" s="2">
        <v>80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29.4" thickBot="1" x14ac:dyDescent="0.35">
      <c r="A114" s="2" t="s">
        <v>284</v>
      </c>
      <c r="B114" s="2" t="s">
        <v>285</v>
      </c>
      <c r="C114" s="2" t="s">
        <v>110</v>
      </c>
      <c r="D114" s="5">
        <f t="shared" si="1"/>
        <v>168</v>
      </c>
      <c r="E114" s="2">
        <v>120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29.4" thickBot="1" x14ac:dyDescent="0.35">
      <c r="A115" s="2" t="s">
        <v>286</v>
      </c>
      <c r="B115" s="2" t="s">
        <v>287</v>
      </c>
      <c r="C115" s="2" t="s">
        <v>110</v>
      </c>
      <c r="D115" s="5">
        <f t="shared" si="1"/>
        <v>68.599999999999994</v>
      </c>
      <c r="E115" s="2">
        <v>49</v>
      </c>
      <c r="F115" s="2">
        <v>49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29.4" thickBot="1" x14ac:dyDescent="0.35">
      <c r="A116" s="2" t="s">
        <v>288</v>
      </c>
      <c r="B116" s="2" t="s">
        <v>289</v>
      </c>
      <c r="C116" s="2" t="s">
        <v>15</v>
      </c>
      <c r="D116" s="5">
        <f t="shared" si="1"/>
        <v>420</v>
      </c>
      <c r="E116" s="2">
        <v>300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thickBot="1" x14ac:dyDescent="0.35">
      <c r="A117" s="2"/>
      <c r="B117" s="2"/>
      <c r="C117" s="2"/>
      <c r="D117" s="5">
        <f t="shared" si="1"/>
        <v>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thickBot="1" x14ac:dyDescent="0.35">
      <c r="A118" s="2"/>
      <c r="B118" s="2"/>
      <c r="C118" s="2"/>
      <c r="D118" s="5">
        <f t="shared" si="1"/>
        <v>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thickBot="1" x14ac:dyDescent="0.35">
      <c r="A119" s="2"/>
      <c r="B119" s="2"/>
      <c r="C119" s="2"/>
      <c r="D119" s="5">
        <f t="shared" si="1"/>
        <v>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thickBot="1" x14ac:dyDescent="0.35">
      <c r="A120" s="2"/>
      <c r="B120" s="2"/>
      <c r="C120" s="2"/>
      <c r="D120" s="5">
        <f t="shared" si="1"/>
        <v>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autoFilter ref="A1:H120" xr:uid="{682C8EF7-2F3F-4513-B211-3F2EF29579C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3BA9-C61B-42EF-BA15-2B07F83BB568}">
  <dimension ref="A2:C47"/>
  <sheetViews>
    <sheetView topLeftCell="A22" workbookViewId="0">
      <selection activeCell="H28" sqref="H28"/>
    </sheetView>
  </sheetViews>
  <sheetFormatPr defaultRowHeight="14.4" x14ac:dyDescent="0.3"/>
  <cols>
    <col min="1" max="1" width="37" bestFit="1" customWidth="1"/>
    <col min="2" max="2" width="16.44140625" customWidth="1"/>
    <col min="3" max="3" width="37.88671875" customWidth="1"/>
  </cols>
  <sheetData>
    <row r="2" spans="1:3" x14ac:dyDescent="0.3">
      <c r="A2" s="13" t="s">
        <v>8</v>
      </c>
      <c r="B2" s="8"/>
      <c r="C2" s="13" t="s">
        <v>258</v>
      </c>
    </row>
    <row r="3" spans="1:3" x14ac:dyDescent="0.3">
      <c r="A3" s="13"/>
      <c r="B3" s="8"/>
      <c r="C3" s="13"/>
    </row>
    <row r="4" spans="1:3" x14ac:dyDescent="0.3">
      <c r="A4" s="8" t="s">
        <v>238</v>
      </c>
      <c r="B4" s="8" t="s">
        <v>241</v>
      </c>
      <c r="C4" s="12" t="s">
        <v>259</v>
      </c>
    </row>
    <row r="5" spans="1:3" x14ac:dyDescent="0.3">
      <c r="A5" s="8" t="s">
        <v>239</v>
      </c>
      <c r="B5" s="8" t="s">
        <v>240</v>
      </c>
      <c r="C5" s="12"/>
    </row>
    <row r="6" spans="1:3" x14ac:dyDescent="0.3">
      <c r="A6" s="8" t="s">
        <v>242</v>
      </c>
      <c r="B6" s="8" t="s">
        <v>243</v>
      </c>
      <c r="C6" s="12"/>
    </row>
    <row r="7" spans="1:3" x14ac:dyDescent="0.3">
      <c r="A7" s="8" t="s">
        <v>246</v>
      </c>
      <c r="B7" s="8"/>
      <c r="C7" s="12"/>
    </row>
    <row r="9" spans="1:3" x14ac:dyDescent="0.3">
      <c r="A9" s="13" t="s">
        <v>226</v>
      </c>
      <c r="C9" s="13" t="s">
        <v>258</v>
      </c>
    </row>
    <row r="10" spans="1:3" x14ac:dyDescent="0.3">
      <c r="A10" s="14"/>
      <c r="C10" s="14"/>
    </row>
    <row r="11" spans="1:3" x14ac:dyDescent="0.3">
      <c r="A11" s="8" t="s">
        <v>238</v>
      </c>
      <c r="B11" s="8" t="s">
        <v>248</v>
      </c>
      <c r="C11" s="12" t="s">
        <v>260</v>
      </c>
    </row>
    <row r="12" spans="1:3" x14ac:dyDescent="0.3">
      <c r="A12" s="8" t="s">
        <v>239</v>
      </c>
      <c r="B12" s="8" t="s">
        <v>247</v>
      </c>
      <c r="C12" s="12"/>
    </row>
    <row r="13" spans="1:3" x14ac:dyDescent="0.3">
      <c r="A13" s="8" t="s">
        <v>242</v>
      </c>
      <c r="B13" s="8" t="s">
        <v>249</v>
      </c>
      <c r="C13" s="12"/>
    </row>
    <row r="14" spans="1:3" x14ac:dyDescent="0.3">
      <c r="A14" s="8" t="s">
        <v>244</v>
      </c>
      <c r="B14" s="8" t="s">
        <v>251</v>
      </c>
      <c r="C14" s="12"/>
    </row>
    <row r="15" spans="1:3" x14ac:dyDescent="0.3">
      <c r="A15" s="8" t="s">
        <v>245</v>
      </c>
      <c r="B15" s="8" t="s">
        <v>251</v>
      </c>
      <c r="C15" s="12"/>
    </row>
    <row r="16" spans="1:3" x14ac:dyDescent="0.3">
      <c r="A16" s="8" t="s">
        <v>250</v>
      </c>
      <c r="B16" s="8" t="s">
        <v>252</v>
      </c>
      <c r="C16" s="12"/>
    </row>
    <row r="17" spans="1:3" x14ac:dyDescent="0.3">
      <c r="A17" s="8" t="s">
        <v>246</v>
      </c>
      <c r="B17" s="8"/>
      <c r="C17" s="12"/>
    </row>
    <row r="19" spans="1:3" x14ac:dyDescent="0.3">
      <c r="A19" s="13" t="s">
        <v>230</v>
      </c>
      <c r="C19" s="13" t="s">
        <v>258</v>
      </c>
    </row>
    <row r="20" spans="1:3" x14ac:dyDescent="0.3">
      <c r="A20" s="14"/>
      <c r="C20" s="14"/>
    </row>
    <row r="21" spans="1:3" x14ac:dyDescent="0.3">
      <c r="A21" s="8" t="s">
        <v>238</v>
      </c>
      <c r="B21" s="8" t="s">
        <v>253</v>
      </c>
      <c r="C21" s="12" t="s">
        <v>261</v>
      </c>
    </row>
    <row r="22" spans="1:3" x14ac:dyDescent="0.3">
      <c r="A22" s="8" t="s">
        <v>239</v>
      </c>
      <c r="B22" s="8" t="s">
        <v>247</v>
      </c>
      <c r="C22" s="12"/>
    </row>
    <row r="23" spans="1:3" x14ac:dyDescent="0.3">
      <c r="A23" s="8" t="s">
        <v>242</v>
      </c>
      <c r="B23" s="8" t="s">
        <v>249</v>
      </c>
      <c r="C23" s="12"/>
    </row>
    <row r="24" spans="1:3" x14ac:dyDescent="0.3">
      <c r="A24" s="8" t="s">
        <v>244</v>
      </c>
      <c r="B24" s="8" t="s">
        <v>251</v>
      </c>
      <c r="C24" s="12"/>
    </row>
    <row r="25" spans="1:3" x14ac:dyDescent="0.3">
      <c r="A25" s="8" t="s">
        <v>245</v>
      </c>
      <c r="B25" s="8" t="s">
        <v>251</v>
      </c>
      <c r="C25" s="12"/>
    </row>
    <row r="26" spans="1:3" x14ac:dyDescent="0.3">
      <c r="A26" s="8" t="s">
        <v>250</v>
      </c>
      <c r="B26" s="8" t="s">
        <v>252</v>
      </c>
      <c r="C26" s="12"/>
    </row>
    <row r="27" spans="1:3" x14ac:dyDescent="0.3">
      <c r="A27" s="8" t="s">
        <v>246</v>
      </c>
      <c r="B27" s="8"/>
      <c r="C27" s="12"/>
    </row>
    <row r="29" spans="1:3" x14ac:dyDescent="0.3">
      <c r="A29" s="13" t="s">
        <v>254</v>
      </c>
      <c r="C29" s="13" t="s">
        <v>258</v>
      </c>
    </row>
    <row r="30" spans="1:3" x14ac:dyDescent="0.3">
      <c r="A30" s="14"/>
      <c r="C30" s="14"/>
    </row>
    <row r="31" spans="1:3" x14ac:dyDescent="0.3">
      <c r="A31" s="8" t="s">
        <v>238</v>
      </c>
      <c r="B31" s="8" t="s">
        <v>255</v>
      </c>
      <c r="C31" s="12" t="s">
        <v>261</v>
      </c>
    </row>
    <row r="32" spans="1:3" x14ac:dyDescent="0.3">
      <c r="A32" s="8" t="s">
        <v>239</v>
      </c>
      <c r="B32" s="8" t="s">
        <v>247</v>
      </c>
      <c r="C32" s="12"/>
    </row>
    <row r="33" spans="1:3" x14ac:dyDescent="0.3">
      <c r="A33" s="8" t="s">
        <v>242</v>
      </c>
      <c r="B33" s="8" t="s">
        <v>249</v>
      </c>
      <c r="C33" s="12"/>
    </row>
    <row r="34" spans="1:3" x14ac:dyDescent="0.3">
      <c r="A34" s="8" t="s">
        <v>244</v>
      </c>
      <c r="B34" s="8" t="s">
        <v>251</v>
      </c>
      <c r="C34" s="12"/>
    </row>
    <row r="35" spans="1:3" x14ac:dyDescent="0.3">
      <c r="A35" s="8" t="s">
        <v>245</v>
      </c>
      <c r="B35" s="8" t="s">
        <v>251</v>
      </c>
      <c r="C35" s="12"/>
    </row>
    <row r="36" spans="1:3" x14ac:dyDescent="0.3">
      <c r="A36" s="8" t="s">
        <v>250</v>
      </c>
      <c r="B36" s="8" t="s">
        <v>252</v>
      </c>
      <c r="C36" s="12"/>
    </row>
    <row r="37" spans="1:3" x14ac:dyDescent="0.3">
      <c r="A37" s="8" t="s">
        <v>246</v>
      </c>
      <c r="B37" s="8"/>
      <c r="C37" s="12"/>
    </row>
    <row r="39" spans="1:3" x14ac:dyDescent="0.3">
      <c r="A39" s="13" t="s">
        <v>256</v>
      </c>
      <c r="C39" s="13" t="s">
        <v>258</v>
      </c>
    </row>
    <row r="40" spans="1:3" x14ac:dyDescent="0.3">
      <c r="A40" s="14"/>
      <c r="C40" s="14"/>
    </row>
    <row r="41" spans="1:3" x14ac:dyDescent="0.3">
      <c r="A41" s="8" t="s">
        <v>238</v>
      </c>
      <c r="B41" s="8" t="s">
        <v>257</v>
      </c>
      <c r="C41" s="12" t="s">
        <v>261</v>
      </c>
    </row>
    <row r="42" spans="1:3" x14ac:dyDescent="0.3">
      <c r="A42" s="8" t="s">
        <v>239</v>
      </c>
      <c r="B42" s="8" t="s">
        <v>247</v>
      </c>
      <c r="C42" s="12"/>
    </row>
    <row r="43" spans="1:3" x14ac:dyDescent="0.3">
      <c r="A43" s="8" t="s">
        <v>242</v>
      </c>
      <c r="B43" s="8" t="s">
        <v>249</v>
      </c>
      <c r="C43" s="12"/>
    </row>
    <row r="44" spans="1:3" x14ac:dyDescent="0.3">
      <c r="A44" s="8" t="s">
        <v>244</v>
      </c>
      <c r="B44" s="8" t="s">
        <v>251</v>
      </c>
      <c r="C44" s="12"/>
    </row>
    <row r="45" spans="1:3" x14ac:dyDescent="0.3">
      <c r="A45" s="8" t="s">
        <v>245</v>
      </c>
      <c r="B45" s="8" t="s">
        <v>251</v>
      </c>
      <c r="C45" s="12"/>
    </row>
    <row r="46" spans="1:3" x14ac:dyDescent="0.3">
      <c r="A46" s="8" t="s">
        <v>250</v>
      </c>
      <c r="B46" s="8" t="s">
        <v>252</v>
      </c>
      <c r="C46" s="12"/>
    </row>
    <row r="47" spans="1:3" x14ac:dyDescent="0.3">
      <c r="A47" s="8" t="s">
        <v>246</v>
      </c>
      <c r="B47" s="8"/>
      <c r="C47" s="12"/>
    </row>
  </sheetData>
  <mergeCells count="15">
    <mergeCell ref="C2:C3"/>
    <mergeCell ref="C4:C7"/>
    <mergeCell ref="C9:C10"/>
    <mergeCell ref="C11:C17"/>
    <mergeCell ref="C19:C20"/>
    <mergeCell ref="A2:A3"/>
    <mergeCell ref="A9:A10"/>
    <mergeCell ref="A19:A20"/>
    <mergeCell ref="A29:A30"/>
    <mergeCell ref="A39:A40"/>
    <mergeCell ref="C21:C27"/>
    <mergeCell ref="C29:C30"/>
    <mergeCell ref="C31:C37"/>
    <mergeCell ref="C39:C40"/>
    <mergeCell ref="C41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</vt:lpstr>
      <vt:lpstr>Product Price</vt:lpstr>
      <vt:lpstr>Apliances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Panelo</dc:creator>
  <cp:lastModifiedBy>Paolo Geva</cp:lastModifiedBy>
  <cp:lastPrinted>2026-04-11T06:08:42Z</cp:lastPrinted>
  <dcterms:created xsi:type="dcterms:W3CDTF">2026-03-06T02:25:34Z</dcterms:created>
  <dcterms:modified xsi:type="dcterms:W3CDTF">2026-09-01T10:26:53Z</dcterms:modified>
</cp:coreProperties>
</file>